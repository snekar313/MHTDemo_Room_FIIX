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_Counts" sheetId="2" state="visible" r:id="rId2"/>
    <sheet xmlns:r="http://schemas.openxmlformats.org/officeDocument/2006/relationships" name="IAB_Project_Tree" sheetId="3" state="visible" r:id="rId3"/>
    <sheet xmlns:r="http://schemas.openxmlformats.org/officeDocument/2006/relationships" name="Skid_BOM" sheetId="4" state="visible" r:id="rId4"/>
    <sheet xmlns:r="http://schemas.openxmlformats.org/officeDocument/2006/relationships" name="Network_Map" sheetId="5" state="visible" r:id="rId5"/>
    <sheet xmlns:r="http://schemas.openxmlformats.org/officeDocument/2006/relationships" name="Safety_Drive_Summary" sheetId="6" state="visible" r:id="rId6"/>
    <sheet xmlns:r="http://schemas.openxmlformats.org/officeDocument/2006/relationships" name="IAB_Entry_Notes" sheetId="7" state="visible" r:id="rId7"/>
    <sheet xmlns:r="http://schemas.openxmlformats.org/officeDocument/2006/relationships" name="Unknowns_To_Verify" sheetId="8" state="visible" r:id="rId8"/>
    <sheet xmlns:r="http://schemas.openxmlformats.org/officeDocument/2006/relationships" name="Photo_Index" sheetId="9" state="visible" r:id="rId9"/>
  </sheets>
  <definedNames>
    <definedName name="_xlnm._FilterDatabase" localSheetId="0" hidden="1">'Read Me'!$A$1:$B$24</definedName>
    <definedName name="_xlnm._FilterDatabase" localSheetId="2" hidden="1">'IAB_Project_Tree'!$A$1:$K$8</definedName>
    <definedName name="_xlnm._FilterDatabase" localSheetId="3" hidden="1">'Skid_BOM'!$A$1:$M$40</definedName>
    <definedName name="_xlnm._FilterDatabase" localSheetId="4" hidden="1">'Network_Map'!$A$1:$H$15</definedName>
    <definedName name="_xlnm._FilterDatabase" localSheetId="5" hidden="1">'Safety_Drive_Summary'!$A$1:$G$7</definedName>
    <definedName name="_xlnm._FilterDatabase" localSheetId="6" hidden="1">'IAB_Entry_Notes'!$A$1:$E$11</definedName>
    <definedName name="_xlnm._FilterDatabase" localSheetId="7" hidden="1">'Unknowns_To_Verify'!$A$1:$G$9</definedName>
    <definedName name="_xlnm._FilterDatabase" localSheetId="8" hidden="1">'Photo_Index'!$A$1:$D$8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AF4F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F2" authorId="0" shapeId="0">
      <text>
        <t>Visual estimate from uploaded panel photo; verify before final IAB BOM.</t>
      </text>
    </comment>
    <comment ref="F3" authorId="0" shapeId="0">
      <text>
        <t>Visual estimate from uploaded panel photo; verify before final IAB BOM.</t>
      </text>
    </comment>
    <comment ref="F4" authorId="0" shapeId="0">
      <text>
        <t>Visual estimate from uploaded panel photo; verify before final IAB BOM.</t>
      </text>
    </comment>
    <comment ref="F5" authorId="0" shapeId="0">
      <text>
        <t>Visual estimate from uploaded panel photo; verify before final IAB BOM.</t>
      </text>
    </comment>
    <comment ref="F6" authorId="0" shapeId="0">
      <text>
        <t>Visual estimate from uploaded panel photo; verify before final IAB BOM.</t>
      </text>
    </comment>
    <comment ref="F7" authorId="0" shapeId="0">
      <text>
        <t>Visual estimate from uploaded panel photo; verify before final IAB BOM.</t>
      </text>
    </comment>
    <comment ref="F8" authorId="0" shapeId="0">
      <text>
        <t>Visual estimate from uploaded panel photo; verify before final IAB BOM.</t>
      </text>
    </comment>
    <comment ref="F9" authorId="0" shapeId="0">
      <text>
        <t>Visual estimate from uploaded panel photo; verify before final IAB BOM.</t>
      </text>
    </comment>
    <comment ref="F10" authorId="0" shapeId="0">
      <text>
        <t>Visual estimate from uploaded panel photo; verify before final IAB BOM.</t>
      </text>
    </comment>
    <comment ref="F11" authorId="0" shapeId="0">
      <text>
        <t>Visual estimate from uploaded panel photo; verify before final IAB BOM.</t>
      </text>
    </comment>
    <comment ref="F12" authorId="0" shapeId="0">
      <text>
        <t>Visual estimate from uploaded panel photo; verify before final IAB BOM.</t>
      </text>
    </comment>
    <comment ref="F13" authorId="0" shapeId="0">
      <text>
        <t>Visual estimate from uploaded panel photo; verify before final IAB BOM.</t>
      </text>
    </comment>
    <comment ref="F14" authorId="0" shapeId="0">
      <text>
        <t>Visual estimate from uploaded panel photo; verify before final IAB BOM.</t>
      </text>
    </comment>
    <comment ref="F15" authorId="0" shapeId="0">
      <text>
        <t>Visual estimate from uploaded panel photo; verify before final IAB BOM.</t>
      </text>
    </comment>
    <comment ref="F16" authorId="0" shapeId="0">
      <text>
        <t>Visual estimate from uploaded panel photo; verify before final IAB BOM.</t>
      </text>
    </comment>
    <comment ref="F17" authorId="0" shapeId="0">
      <text>
        <t>Visual estimate from uploaded panel photo; verify before final IAB BOM.</t>
      </text>
    </comment>
    <comment ref="F18" authorId="0" shapeId="0">
      <text>
        <t>Visual estimate from uploaded panel photo; verify before final IAB BOM.</t>
      </text>
    </comment>
    <comment ref="F19" authorId="0" shapeId="0">
      <text>
        <t>Visual estimate from uploaded panel photo; verify before final IAB BOM.</t>
      </text>
    </comment>
    <comment ref="F20" authorId="0" shapeId="0">
      <text>
        <t>Visual estimate from uploaded panel photo; verify before final IAB BOM.</t>
      </text>
    </comment>
    <comment ref="F21" authorId="0" shapeId="0">
      <text>
        <t>Visual estimate from uploaded panel photo; verify before final IAB BOM.</t>
      </text>
    </comment>
    <comment ref="F22" authorId="0" shapeId="0">
      <text>
        <t>Visual estimate from uploaded panel photo; verify before final IAB BOM.</t>
      </text>
    </comment>
    <comment ref="F23" authorId="0" shapeId="0">
      <text>
        <t>Visual estimate from uploaded panel photo; verify before final IAB BOM.</t>
      </text>
    </comment>
    <comment ref="F24" authorId="0" shapeId="0">
      <text>
        <t>Visual estimate from uploaded panel photo; verify before final IAB BOM.</t>
      </text>
    </comment>
    <comment ref="F25" authorId="0" shapeId="0">
      <text>
        <t>Visual estimate from uploaded panel photo; verify before final IAB BOM.</t>
      </text>
    </comment>
    <comment ref="F26" authorId="0" shapeId="0">
      <text>
        <t>Visual estimate from uploaded panel photo; verify before final IAB BOM.</t>
      </text>
    </comment>
    <comment ref="F27" authorId="0" shapeId="0">
      <text>
        <t>Visual estimate from uploaded panel photo; verify before final IAB BOM.</t>
      </text>
    </comment>
    <comment ref="F28" authorId="0" shapeId="0">
      <text>
        <t>Visual estimate from uploaded panel photo; verify before final IAB BOM.</t>
      </text>
    </comment>
    <comment ref="F29" authorId="0" shapeId="0">
      <text>
        <t>Visual estimate from uploaded panel photo; verify before final IAB BOM.</t>
      </text>
    </comment>
    <comment ref="F30" authorId="0" shapeId="0">
      <text>
        <t>Visual estimate from uploaded panel photo; verify before final IAB BOM.</t>
      </text>
    </comment>
    <comment ref="F31" authorId="0" shapeId="0">
      <text>
        <t>Visual estimate from uploaded panel photo; verify before final IAB BOM.</t>
      </text>
    </comment>
    <comment ref="F32" authorId="0" shapeId="0">
      <text>
        <t>Visual estimate from uploaded panel photo; verify before final IAB BOM.</t>
      </text>
    </comment>
    <comment ref="F33" authorId="0" shapeId="0">
      <text>
        <t>Visual estimate from uploaded panel photo; verify before final IAB BOM.</t>
      </text>
    </comment>
    <comment ref="F34" authorId="0" shapeId="0">
      <text>
        <t>Visual estimate from uploaded panel photo; verify before final IAB BOM.</t>
      </text>
    </comment>
    <comment ref="F35" authorId="0" shapeId="0">
      <text>
        <t>Visual estimate from uploaded panel photo; verify before final IAB BOM.</t>
      </text>
    </comment>
    <comment ref="F36" authorId="0" shapeId="0">
      <text>
        <t>Visual estimate from uploaded panel photo; verify before final IAB BOM.</t>
      </text>
    </comment>
    <comment ref="F37" authorId="0" shapeId="0">
      <text>
        <t>Visual estimate from uploaded panel photo; verify before final IAB BOM.</t>
      </text>
    </comment>
    <comment ref="F38" authorId="0" shapeId="0">
      <text>
        <t>Visual estimate from uploaded panel photo; verify before final IAB BOM.</t>
      </text>
    </comment>
    <comment ref="F39" authorId="0" shapeId="0">
      <text>
        <t>Visual estimate from uploaded panel photo; verify before final IAB BOM.</t>
      </text>
    </comment>
    <comment ref="F40" authorId="0" shapeId="0">
      <text>
        <t>Visual estimate from uploaded panel photo; verify before final IAB BOM.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790825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571625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2790825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2790825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790825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2790825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2790825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Rockwell Demo Room - Integrated Architecture Builder Project Builder</t>
        </is>
      </c>
      <c r="B1" s="1" t="n"/>
    </row>
    <row r="2">
      <c r="A2" s="2" t="n"/>
      <c r="B2" s="2" t="n"/>
    </row>
    <row r="3">
      <c r="A3" s="3" t="inlineStr">
        <is>
          <t>Purpose</t>
        </is>
      </c>
      <c r="B3" s="2" t="inlineStr">
        <is>
          <t>Structured IAB/PST build package from the provided main photo and six process-skid subpanel photos. Each backpanel is represented as a separate process skid designation with candidate Rockwell families, Ethernet devices, safety devices, VFD/motion technology, and follow-up verification actions.</t>
        </is>
      </c>
    </row>
    <row r="4">
      <c r="A4" s="2" t="n"/>
      <c r="B4" s="2" t="n"/>
    </row>
    <row r="5">
      <c r="A5" s="3" t="inlineStr">
        <is>
          <t>Important limitation</t>
        </is>
      </c>
      <c r="B5" s="2" t="inlineStr">
        <is>
          <t>The native Rockwell IAB project file is proprietary and should be finalized in Product Selection Toolbox. This workbook is the structured project-entry package/BOM scaffold for creating the IAB file. Catalog numbers are best-effort visual estimates and must be verified from nameplates, EPLAN drawings, or RSLogix/Studio 5000/CCW project files.</t>
        </is>
      </c>
    </row>
    <row r="6">
      <c r="A6" s="2" t="n"/>
      <c r="B6" s="2" t="n"/>
    </row>
    <row r="7">
      <c r="A7" s="3" t="inlineStr">
        <is>
          <t>Recommended IAB entry sequence</t>
        </is>
      </c>
      <c r="B7" s="2" t="n"/>
    </row>
    <row r="8">
      <c r="A8" s="2" t="n"/>
      <c r="B8" s="2" t="inlineStr">
        <is>
          <t>1. Create one IAB project named MMG_Rockwell_Demo_Room_Integrated_Architecture.</t>
        </is>
      </c>
    </row>
    <row r="9">
      <c r="A9" s="2" t="n"/>
      <c r="B9" s="2" t="inlineStr">
        <is>
          <t>2. Create one top-level location: IA-DEMO-WALL.</t>
        </is>
      </c>
    </row>
    <row r="10">
      <c r="A10" s="2" t="n"/>
      <c r="B10" s="2" t="inlineStr">
        <is>
          <t>3. Add six process skids using the SKID_ID values in the IAB_Project_Tree sheet.</t>
        </is>
      </c>
    </row>
    <row r="11">
      <c r="A11" s="2" t="n"/>
      <c r="B11" s="2" t="inlineStr">
        <is>
          <t>4. For each skid, add the controller/HMI/network/safety/drive sections shown in the Skid_BOM sheet.</t>
        </is>
      </c>
    </row>
    <row r="12">
      <c r="A12" s="2" t="n"/>
      <c r="B12" s="2" t="inlineStr">
        <is>
          <t>5. Use Candidate_Catalog_Family and Verification_Note to resolve exact part numbers in PST/IAB.</t>
        </is>
      </c>
    </row>
    <row r="13">
      <c r="A13" s="2" t="n"/>
      <c r="B13" s="2" t="inlineStr">
        <is>
          <t>6. Use Network_Map to validate EtherNet/IP topology, IP plan, and switch count.</t>
        </is>
      </c>
    </row>
    <row r="14">
      <c r="A14" s="2" t="n"/>
      <c r="B14" s="2" t="inlineStr">
        <is>
          <t>7. Use Unknowns_To_Verify as the punch list before issuing a final IAB BOM.</t>
        </is>
      </c>
    </row>
    <row r="15">
      <c r="A15" s="2" t="n"/>
      <c r="B15" s="2" t="n"/>
    </row>
    <row r="16">
      <c r="A16" s="2" t="n"/>
      <c r="B16" s="2" t="n"/>
    </row>
    <row r="17">
      <c r="A17" s="3" t="inlineStr">
        <is>
          <t>Workbook sheets</t>
        </is>
      </c>
      <c r="B17" s="2" t="n"/>
    </row>
    <row r="18">
      <c r="A18" s="2" t="inlineStr">
        <is>
          <t>IAB_Project_Tree</t>
        </is>
      </c>
      <c r="B18" s="2" t="inlineStr">
        <is>
          <t>Process skid hierarchy and IAB entry structure.</t>
        </is>
      </c>
    </row>
    <row r="19">
      <c r="A19" s="2" t="inlineStr">
        <is>
          <t>Skid_BOM</t>
        </is>
      </c>
      <c r="B19" s="2" t="inlineStr">
        <is>
          <t>Photo-derived component schedule by skid, category, and IAB section.</t>
        </is>
      </c>
    </row>
    <row r="20">
      <c r="A20" s="2" t="inlineStr">
        <is>
          <t>Network_Map</t>
        </is>
      </c>
      <c r="B20" s="2" t="inlineStr">
        <is>
          <t>EtherNet/IP architecture view for controllers, HMIs, drives, safety I/O, and switches.</t>
        </is>
      </c>
    </row>
    <row r="21">
      <c r="A21" s="2" t="inlineStr">
        <is>
          <t>Safety_Drive_Summary</t>
        </is>
      </c>
      <c r="B21" s="2" t="inlineStr">
        <is>
          <t>Focused summary of safety, VFD, and servo/motion technologies.</t>
        </is>
      </c>
    </row>
    <row r="22">
      <c r="A22" s="2" t="inlineStr">
        <is>
          <t>IAB_Entry_Notes</t>
        </is>
      </c>
      <c r="B22" s="2" t="inlineStr">
        <is>
          <t>Actionable notes to build each skid in PST/IAB.</t>
        </is>
      </c>
    </row>
    <row r="23">
      <c r="A23" s="2" t="inlineStr">
        <is>
          <t>Unknowns_To_Verify</t>
        </is>
      </c>
      <c r="B23" s="2" t="inlineStr">
        <is>
          <t>Required field verification before final procurement BOM.</t>
        </is>
      </c>
    </row>
    <row r="24">
      <c r="A24" s="2" t="inlineStr">
        <is>
          <t>Photo_Index</t>
        </is>
      </c>
      <c r="B24" s="2" t="inlineStr">
        <is>
          <t>Embedded thumbnails and source photo mapping.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4" t="inlineStr">
        <is>
          <t>Metric</t>
        </is>
      </c>
      <c r="B1" s="4" t="inlineStr">
        <is>
          <t>Formula / Value</t>
        </is>
      </c>
    </row>
    <row r="2">
      <c r="A2" t="inlineStr">
        <is>
          <t>Total process skids</t>
        </is>
      </c>
      <c r="B2">
        <f>COUNTA(IAB_Project_Tree!C3:C8)</f>
        <v/>
      </c>
    </row>
    <row r="3">
      <c r="A3" t="inlineStr">
        <is>
          <t>Total BOM lines</t>
        </is>
      </c>
      <c r="B3">
        <f>COUNTA(Skid_BOM!A2:A200)</f>
        <v/>
      </c>
    </row>
    <row r="4">
      <c r="A4" t="inlineStr">
        <is>
          <t>High confidence lines</t>
        </is>
      </c>
      <c r="B4">
        <f>COUNTIF(Skid_BOM!I:I,"High")</f>
        <v/>
      </c>
    </row>
    <row r="5">
      <c r="A5" t="inlineStr">
        <is>
          <t>Medium confidence lines</t>
        </is>
      </c>
      <c r="B5">
        <f>COUNTIF(Skid_BOM!I:I,"Medium")</f>
        <v/>
      </c>
    </row>
    <row r="6">
      <c r="A6" t="inlineStr">
        <is>
          <t>Open verification items</t>
        </is>
      </c>
      <c r="B6">
        <f>COUNTIF(Unknowns_To_Verify!G:G,"Open")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34" customWidth="1" min="4" max="4"/>
    <col width="46" customWidth="1" min="5" max="5"/>
    <col width="16" customWidth="1" min="6" max="6"/>
    <col width="22" customWidth="1" min="7" max="7"/>
    <col width="28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Level</t>
        </is>
      </c>
      <c r="B1" s="1" t="inlineStr">
        <is>
          <t>Parent_ID</t>
        </is>
      </c>
      <c r="C1" s="1" t="inlineStr">
        <is>
          <t>Skid_ID</t>
        </is>
      </c>
      <c r="D1" s="1" t="inlineStr">
        <is>
          <t>IAB Node / Process Skid Designation</t>
        </is>
      </c>
      <c r="E1" s="1" t="inlineStr">
        <is>
          <t>Application Description</t>
        </is>
      </c>
      <c r="F1" s="1" t="inlineStr">
        <is>
          <t>Source Photo</t>
        </is>
      </c>
      <c r="G1" s="1" t="inlineStr">
        <is>
          <t>Primary Technology</t>
        </is>
      </c>
      <c r="H1" s="1" t="inlineStr">
        <is>
          <t>IAB Build Section</t>
        </is>
      </c>
      <c r="I1" s="1" t="inlineStr">
        <is>
          <t>Recommended Tag Prefix</t>
        </is>
      </c>
      <c r="J1" s="1" t="inlineStr">
        <is>
          <t>Status</t>
        </is>
      </c>
      <c r="K1" s="1" t="inlineStr">
        <is>
          <t>Component Count</t>
        </is>
      </c>
    </row>
    <row r="2">
      <c r="A2" s="2" t="n">
        <v>0</v>
      </c>
      <c r="B2" s="2" t="inlineStr"/>
      <c r="C2" s="2" t="inlineStr">
        <is>
          <t>IA-DEMO-WALL</t>
        </is>
      </c>
      <c r="D2" s="2" t="inlineStr">
        <is>
          <t>Rockwell Integrated Architecture Demo Wall</t>
        </is>
      </c>
      <c r="E2" s="2" t="inlineStr">
        <is>
          <t>Main demonstration wall containing six process skids and common overhead cable tray / demo-room infrastructure.</t>
        </is>
      </c>
      <c r="F2" s="2" t="inlineStr">
        <is>
          <t>IMG_0192.jpeg</t>
        </is>
      </c>
      <c r="G2" s="2" t="inlineStr">
        <is>
          <t>Integrated Architecture</t>
        </is>
      </c>
      <c r="H2" s="2" t="inlineStr">
        <is>
          <t>Plant / Site</t>
        </is>
      </c>
      <c r="I2" s="2" t="inlineStr">
        <is>
          <t>IA</t>
        </is>
      </c>
      <c r="J2" s="2" t="inlineStr">
        <is>
          <t>Scaffold</t>
        </is>
      </c>
      <c r="K2" s="5">
        <f>COUNTIF(Skid_BOM!$A:$A,C2)</f>
        <v/>
      </c>
    </row>
    <row r="3">
      <c r="A3" s="2" t="n">
        <v>1</v>
      </c>
      <c r="B3" s="2" t="inlineStr">
        <is>
          <t>IA-DEMO-WALL</t>
        </is>
      </c>
      <c r="C3" s="2" t="inlineStr">
        <is>
          <t>SKID-01</t>
        </is>
      </c>
      <c r="D3" s="2" t="inlineStr">
        <is>
          <t>PLC / Network Core Process Skid</t>
        </is>
      </c>
      <c r="E3" s="2" t="inlineStr">
        <is>
          <t>Central PLC/network/power skid with CompactLogix-style controller, Ethernet switch/security appliance, 22 mm operator devices, protection devices, and field terminal blocks.</t>
        </is>
      </c>
      <c r="F3" s="2" t="inlineStr">
        <is>
          <t>IMG_0196.jpeg</t>
        </is>
      </c>
      <c r="G3" s="2" t="inlineStr">
        <is>
          <t>Controller + Network</t>
        </is>
      </c>
      <c r="H3" s="2" t="inlineStr">
        <is>
          <t>Controller, Ethernet, Power, I/O</t>
        </is>
      </c>
      <c r="I3" s="2" t="inlineStr">
        <is>
          <t>S01</t>
        </is>
      </c>
      <c r="J3" s="2" t="inlineStr">
        <is>
          <t>Scaffold</t>
        </is>
      </c>
      <c r="K3" s="5">
        <f>COUNTIF(Skid_BOM!$A:$A,C3)</f>
        <v/>
      </c>
    </row>
    <row r="4">
      <c r="A4" s="2" t="n">
        <v>1</v>
      </c>
      <c r="B4" s="2" t="inlineStr">
        <is>
          <t>IA-DEMO-WALL</t>
        </is>
      </c>
      <c r="C4" s="2" t="inlineStr">
        <is>
          <t>SKID-02</t>
        </is>
      </c>
      <c r="D4" s="2" t="inlineStr">
        <is>
          <t>VFD and Motion Drive Process Skid</t>
        </is>
      </c>
      <c r="E4" s="2" t="inlineStr">
        <is>
          <t>Drive technology skid with PowerFlex 755TS VFD, Kinetix servo drive modules, branch protection, contactors, and distributed terminal blocks.</t>
        </is>
      </c>
      <c r="F4" s="2" t="inlineStr">
        <is>
          <t>IMG_0199.jpeg</t>
        </is>
      </c>
      <c r="G4" s="2" t="inlineStr">
        <is>
          <t>VFD + Motion</t>
        </is>
      </c>
      <c r="H4" s="2" t="inlineStr">
        <is>
          <t>Drives, Motion, Ethernet, Power</t>
        </is>
      </c>
      <c r="I4" s="2" t="inlineStr">
        <is>
          <t>S02</t>
        </is>
      </c>
      <c r="J4" s="2" t="inlineStr">
        <is>
          <t>Scaffold</t>
        </is>
      </c>
      <c r="K4" s="5">
        <f>COUNTIF(Skid_BOM!$A:$A,C4)</f>
        <v/>
      </c>
    </row>
    <row r="5">
      <c r="A5" s="2" t="n">
        <v>1</v>
      </c>
      <c r="B5" s="2" t="inlineStr">
        <is>
          <t>IA-DEMO-WALL</t>
        </is>
      </c>
      <c r="C5" s="2" t="inlineStr">
        <is>
          <t>SKID-03</t>
        </is>
      </c>
      <c r="D5" s="2" t="inlineStr">
        <is>
          <t>GuardLogix HMI Safety Process Skid</t>
        </is>
      </c>
      <c r="E5" s="2" t="inlineStr">
        <is>
          <t>HMI and safety automation skid with PanelView, Compact GuardLogix/CompactLogix class controller, safety I/O, ArmorBlock/field I/O, and operator controls.</t>
        </is>
      </c>
      <c r="F5" s="2" t="inlineStr">
        <is>
          <t>IMG_0201.jpeg</t>
        </is>
      </c>
      <c r="G5" s="2" t="inlineStr">
        <is>
          <t>Safety Controller + HMI</t>
        </is>
      </c>
      <c r="H5" s="2" t="inlineStr">
        <is>
          <t>Controller, Safety, HMI, I/O</t>
        </is>
      </c>
      <c r="I5" s="2" t="inlineStr">
        <is>
          <t>S03</t>
        </is>
      </c>
      <c r="J5" s="2" t="inlineStr">
        <is>
          <t>Scaffold</t>
        </is>
      </c>
      <c r="K5" s="5">
        <f>COUNTIF(Skid_BOM!$A:$A,C5)</f>
        <v/>
      </c>
    </row>
    <row r="6">
      <c r="A6" s="2" t="n">
        <v>1</v>
      </c>
      <c r="B6" s="2" t="inlineStr">
        <is>
          <t>IA-DEMO-WALL</t>
        </is>
      </c>
      <c r="C6" s="2" t="inlineStr">
        <is>
          <t>SKID-04</t>
        </is>
      </c>
      <c r="D6" s="2" t="inlineStr">
        <is>
          <t>Servo Motion Safety Cell Skid</t>
        </is>
      </c>
      <c r="E6" s="2" t="inlineStr">
        <is>
          <t>Motion cell skid with Kinetix class servo drive, servo motor/axis hardware, safety interlocks, safety switch/guard locking, POINT I/O, and terminal marshalling.</t>
        </is>
      </c>
      <c r="F6" s="2" t="inlineStr">
        <is>
          <t>IMG_0205.jpeg</t>
        </is>
      </c>
      <c r="G6" s="2" t="inlineStr">
        <is>
          <t>Servo Motion + Safety</t>
        </is>
      </c>
      <c r="H6" s="2" t="inlineStr">
        <is>
          <t>Motion, Safety, Controller, I/O</t>
        </is>
      </c>
      <c r="I6" s="2" t="inlineStr">
        <is>
          <t>S04</t>
        </is>
      </c>
      <c r="J6" s="2" t="inlineStr">
        <is>
          <t>Scaffold</t>
        </is>
      </c>
      <c r="K6" s="5">
        <f>COUNTIF(Skid_BOM!$A:$A,C6)</f>
        <v/>
      </c>
    </row>
    <row r="7">
      <c r="A7" s="2" t="n">
        <v>1</v>
      </c>
      <c r="B7" s="2" t="inlineStr">
        <is>
          <t>IA-DEMO-WALL</t>
        </is>
      </c>
      <c r="C7" s="2" t="inlineStr">
        <is>
          <t>SKID-05</t>
        </is>
      </c>
      <c r="D7" s="2" t="inlineStr">
        <is>
          <t>Guarding / E-Stop Safety Demonstration Skid</t>
        </is>
      </c>
      <c r="E7" s="2" t="inlineStr">
        <is>
          <t>Machine safety demonstration skid with zone E-stops, GuardShield light curtains, Guardmaster safety switches, ArmorBlock safety I/O, and safety/status lamps.</t>
        </is>
      </c>
      <c r="F7" s="2" t="inlineStr">
        <is>
          <t>IMG_0206.jpeg</t>
        </is>
      </c>
      <c r="G7" s="2" t="inlineStr">
        <is>
          <t>Machine Safety</t>
        </is>
      </c>
      <c r="H7" s="2" t="inlineStr">
        <is>
          <t>Safety, I/O, HMI-lite, Ethernet</t>
        </is>
      </c>
      <c r="I7" s="2" t="inlineStr">
        <is>
          <t>S05</t>
        </is>
      </c>
      <c r="J7" s="2" t="inlineStr">
        <is>
          <t>Scaffold</t>
        </is>
      </c>
      <c r="K7" s="5">
        <f>COUNTIF(Skid_BOM!$A:$A,C7)</f>
        <v/>
      </c>
    </row>
    <row r="8">
      <c r="A8" s="2" t="n">
        <v>1</v>
      </c>
      <c r="B8" s="2" t="inlineStr">
        <is>
          <t>IA-DEMO-WALL</t>
        </is>
      </c>
      <c r="C8" s="2" t="inlineStr">
        <is>
          <t>SKID-06</t>
        </is>
      </c>
      <c r="D8" s="2" t="inlineStr">
        <is>
          <t>Compact Machine Control and Drives Skid</t>
        </is>
      </c>
      <c r="E8" s="2" t="inlineStr">
        <is>
          <t>Compact machine control skid with HMI, Stratix switch, PLC, distributed I/O, VFD/servo technology, power distribution, and linear actuator/motor load.</t>
        </is>
      </c>
      <c r="F8" s="2" t="inlineStr">
        <is>
          <t>IMG_0209.jpeg</t>
        </is>
      </c>
      <c r="G8" s="2" t="inlineStr">
        <is>
          <t>Compact Machine Control</t>
        </is>
      </c>
      <c r="H8" s="2" t="inlineStr">
        <is>
          <t>Controller, HMI, Drives, Ethernet</t>
        </is>
      </c>
      <c r="I8" s="2" t="inlineStr">
        <is>
          <t>S06</t>
        </is>
      </c>
      <c r="J8" s="2" t="inlineStr">
        <is>
          <t>Scaffold</t>
        </is>
      </c>
      <c r="K8" s="5">
        <f>COUNTIF(Skid_BOM!$A:$A,C8)</f>
        <v/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2" customWidth="1" min="4" max="4"/>
    <col width="38" customWidth="1" min="5" max="5"/>
    <col width="28" customWidth="1" min="6" max="6"/>
    <col width="12" customWidth="1" min="7" max="7"/>
    <col width="18" customWidth="1" min="8" max="8"/>
    <col width="12" customWidth="1" min="9" max="9"/>
    <col width="20" customWidth="1" min="10" max="10"/>
    <col width="42" customWidth="1" min="11" max="11"/>
    <col width="38" customWidth="1" min="12" max="12"/>
    <col width="20" customWidth="1" min="13" max="13"/>
  </cols>
  <sheetData>
    <row r="1">
      <c r="A1" s="1" t="inlineStr">
        <is>
          <t>Skid_ID</t>
        </is>
      </c>
      <c r="B1" s="1" t="inlineStr">
        <is>
          <t>Line</t>
        </is>
      </c>
      <c r="C1" s="1" t="inlineStr">
        <is>
          <t>IAB Section</t>
        </is>
      </c>
      <c r="D1" s="1" t="inlineStr">
        <is>
          <t>Component Category</t>
        </is>
      </c>
      <c r="E1" s="1" t="inlineStr">
        <is>
          <t>Observed / Inferred Component</t>
        </is>
      </c>
      <c r="F1" s="1" t="inlineStr">
        <is>
          <t>Candidate Catalog Family</t>
        </is>
      </c>
      <c r="G1" s="1" t="inlineStr">
        <is>
          <t>Qty Estimate</t>
        </is>
      </c>
      <c r="H1" s="1" t="inlineStr">
        <is>
          <t>Rockwell / Vendor</t>
        </is>
      </c>
      <c r="I1" s="1" t="inlineStr">
        <is>
          <t>Confidence</t>
        </is>
      </c>
      <c r="J1" s="1" t="inlineStr">
        <is>
          <t>Photo Evidence</t>
        </is>
      </c>
      <c r="K1" s="1" t="inlineStr">
        <is>
          <t>Verification Note</t>
        </is>
      </c>
      <c r="L1" s="1" t="inlineStr">
        <is>
          <t>IAB Entry Action</t>
        </is>
      </c>
      <c r="M1" s="1" t="inlineStr">
        <is>
          <t>Fiix Asset Class</t>
        </is>
      </c>
    </row>
    <row r="2">
      <c r="A2" s="2" t="inlineStr">
        <is>
          <t>SKID-01</t>
        </is>
      </c>
      <c r="B2" s="2" t="n">
        <v>10</v>
      </c>
      <c r="C2" s="2" t="inlineStr">
        <is>
          <t>Controller</t>
        </is>
      </c>
      <c r="D2" s="2" t="inlineStr">
        <is>
          <t>PLC / PAC</t>
        </is>
      </c>
      <c r="E2" s="2" t="inlineStr">
        <is>
          <t>CompactLogix / CompactLogix-style controller with Ethernet and I/O rack visible near top</t>
        </is>
      </c>
      <c r="F2" s="6" t="inlineStr">
        <is>
          <t>1769 / 5069 CompactLogix family</t>
        </is>
      </c>
      <c r="G2" s="2" t="n">
        <v>1</v>
      </c>
      <c r="H2" s="2" t="inlineStr">
        <is>
          <t>Allen-Bradley</t>
        </is>
      </c>
      <c r="I2" s="7" t="inlineStr">
        <is>
          <t>Medium</t>
        </is>
      </c>
      <c r="J2" s="2" t="inlineStr">
        <is>
          <t>IMG_0196 top center</t>
        </is>
      </c>
      <c r="K2" s="6" t="inlineStr">
        <is>
          <t>Read controller nameplate or Studio 5000 project for exact CPU and memory option.</t>
        </is>
      </c>
      <c r="L2" s="2" t="inlineStr">
        <is>
          <t>Add controller chassis, CPU, power supply and local I/O modules.</t>
        </is>
      </c>
      <c r="M2" s="2" t="inlineStr">
        <is>
          <t>PLC Controller</t>
        </is>
      </c>
    </row>
    <row r="3">
      <c r="A3" s="2" t="inlineStr">
        <is>
          <t>SKID-01</t>
        </is>
      </c>
      <c r="B3" s="2" t="n">
        <v>20</v>
      </c>
      <c r="C3" s="2" t="inlineStr">
        <is>
          <t>Network</t>
        </is>
      </c>
      <c r="D3" s="2" t="inlineStr">
        <is>
          <t>Industrial firewall / security appliance</t>
        </is>
      </c>
      <c r="E3" s="2" t="inlineStr">
        <is>
          <t>Fortinet FortiGate industrial/security appliance on lower left</t>
        </is>
      </c>
      <c r="F3" s="6" t="inlineStr">
        <is>
          <t>FortiGate / Fortinet industrial firewall</t>
        </is>
      </c>
      <c r="G3" s="2" t="n">
        <v>1</v>
      </c>
      <c r="H3" s="2" t="inlineStr">
        <is>
          <t>Fortinet</t>
        </is>
      </c>
      <c r="I3" s="7" t="inlineStr">
        <is>
          <t>High</t>
        </is>
      </c>
      <c r="J3" s="2" t="inlineStr">
        <is>
          <t>IMG_0196 lower left</t>
        </is>
      </c>
      <c r="K3" s="6" t="inlineStr">
        <is>
          <t>Confirm model, ports, power requirements, and whether included in IAB as non-RA device.</t>
        </is>
      </c>
      <c r="L3" s="2" t="inlineStr">
        <is>
          <t>Add as third-party Ethernet/security device note.</t>
        </is>
      </c>
      <c r="M3" s="2" t="inlineStr">
        <is>
          <t>Network Security Appliance</t>
        </is>
      </c>
    </row>
    <row r="4">
      <c r="A4" s="2" t="inlineStr">
        <is>
          <t>SKID-01</t>
        </is>
      </c>
      <c r="B4" s="2" t="n">
        <v>30</v>
      </c>
      <c r="C4" s="2" t="inlineStr">
        <is>
          <t>Network</t>
        </is>
      </c>
      <c r="D4" s="2" t="inlineStr">
        <is>
          <t>Industrial Ethernet switch</t>
        </is>
      </c>
      <c r="E4" s="2" t="inlineStr">
        <is>
          <t>Small DIN-rail managed/unmanaged Ethernet switch adjacent to firewall</t>
        </is>
      </c>
      <c r="F4" s="6" t="inlineStr">
        <is>
          <t>Stratix 2000/5700 candidate or third-party switch</t>
        </is>
      </c>
      <c r="G4" s="2" t="n">
        <v>1</v>
      </c>
      <c r="H4" s="2" t="inlineStr">
        <is>
          <t>Allen-Bradley / third-party</t>
        </is>
      </c>
      <c r="I4" s="7" t="inlineStr">
        <is>
          <t>Medium</t>
        </is>
      </c>
      <c r="J4" s="2" t="inlineStr">
        <is>
          <t>IMG_0196 lower center</t>
        </is>
      </c>
      <c r="K4" s="6" t="inlineStr">
        <is>
          <t>Identify label and number of copper/fiber ports.</t>
        </is>
      </c>
      <c r="L4" s="2" t="inlineStr">
        <is>
          <t>Add switch with port count and EtherNet/IP devices connected.</t>
        </is>
      </c>
      <c r="M4" s="2" t="inlineStr">
        <is>
          <t>Ethernet Switch</t>
        </is>
      </c>
    </row>
    <row r="5">
      <c r="A5" s="2" t="inlineStr">
        <is>
          <t>SKID-01</t>
        </is>
      </c>
      <c r="B5" s="2" t="n">
        <v>40</v>
      </c>
      <c r="C5" s="2" t="inlineStr">
        <is>
          <t>Power</t>
        </is>
      </c>
      <c r="D5" s="2" t="inlineStr">
        <is>
          <t>Circuit protection</t>
        </is>
      </c>
      <c r="E5" s="2" t="inlineStr">
        <is>
          <t>Molded case breaker and DIN rail branch protection</t>
        </is>
      </c>
      <c r="F5" s="6" t="inlineStr">
        <is>
          <t>140G / 1489-M / 1492-SP family</t>
        </is>
      </c>
      <c r="G5" s="2" t="n">
        <v>3</v>
      </c>
      <c r="H5" s="2" t="inlineStr">
        <is>
          <t>Allen-Bradley</t>
        </is>
      </c>
      <c r="I5" s="7" t="inlineStr">
        <is>
          <t>Medium</t>
        </is>
      </c>
      <c r="J5" s="2" t="inlineStr">
        <is>
          <t>IMG_0196 mid/lower panel</t>
        </is>
      </c>
      <c r="K5" s="6" t="inlineStr">
        <is>
          <t>Verify voltage, current ratings and SCCR requirements.</t>
        </is>
      </c>
      <c r="L5" s="2" t="inlineStr">
        <is>
          <t>Add main/branch protection in power distribution section.</t>
        </is>
      </c>
      <c r="M5" s="2" t="inlineStr">
        <is>
          <t>Circuit Protection</t>
        </is>
      </c>
    </row>
    <row r="6">
      <c r="A6" s="2" t="inlineStr">
        <is>
          <t>SKID-01</t>
        </is>
      </c>
      <c r="B6" s="2" t="n">
        <v>50</v>
      </c>
      <c r="C6" s="2" t="inlineStr">
        <is>
          <t>Operator Interface</t>
        </is>
      </c>
      <c r="D6" s="2" t="inlineStr">
        <is>
          <t>22 mm pushbuttons / pilot devices</t>
        </is>
      </c>
      <c r="E6" s="2" t="inlineStr">
        <is>
          <t>Multi-color operator pushbuttons, illuminated indicators, mushroom E-stop</t>
        </is>
      </c>
      <c r="F6" s="6" t="inlineStr">
        <is>
          <t>800F / 800T / 800H family</t>
        </is>
      </c>
      <c r="G6" s="2" t="n">
        <v>12</v>
      </c>
      <c r="H6" s="2" t="inlineStr">
        <is>
          <t>Allen-Bradley</t>
        </is>
      </c>
      <c r="I6" s="7" t="inlineStr">
        <is>
          <t>Medium</t>
        </is>
      </c>
      <c r="J6" s="2" t="inlineStr">
        <is>
          <t>IMG_0196 center</t>
        </is>
      </c>
      <c r="K6" s="6" t="inlineStr">
        <is>
          <t>Count exact NO/NC contact blocks and lamp voltages.</t>
        </is>
      </c>
      <c r="L6" s="2" t="inlineStr">
        <is>
          <t>Add operator devices and E-stop station as accessories.</t>
        </is>
      </c>
      <c r="M6" s="2" t="inlineStr">
        <is>
          <t>Operator Device</t>
        </is>
      </c>
    </row>
    <row r="7">
      <c r="A7" s="2" t="inlineStr">
        <is>
          <t>SKID-01</t>
        </is>
      </c>
      <c r="B7" s="2" t="n">
        <v>60</v>
      </c>
      <c r="C7" s="2" t="inlineStr">
        <is>
          <t>Wiring</t>
        </is>
      </c>
      <c r="D7" s="2" t="inlineStr">
        <is>
          <t>Terminal blocks / marshalling</t>
        </is>
      </c>
      <c r="E7" s="2" t="inlineStr">
        <is>
          <t>DIN rail terminal block banks with patch field labeling</t>
        </is>
      </c>
      <c r="F7" s="6" t="inlineStr">
        <is>
          <t>1492 terminal block family</t>
        </is>
      </c>
      <c r="G7" s="2" t="n">
        <v>4</v>
      </c>
      <c r="H7" s="2" t="inlineStr">
        <is>
          <t>Allen-Bradley / WAGO</t>
        </is>
      </c>
      <c r="I7" s="7" t="inlineStr">
        <is>
          <t>Medium</t>
        </is>
      </c>
      <c r="J7" s="2" t="inlineStr">
        <is>
          <t>IMG_0196 left/right edges</t>
        </is>
      </c>
      <c r="K7" s="6" t="inlineStr">
        <is>
          <t>Verify manufacturer and terminal count from BOM or panel drawings.</t>
        </is>
      </c>
      <c r="L7" s="2" t="inlineStr">
        <is>
          <t>Add terminal block accessories or note as panel material.</t>
        </is>
      </c>
      <c r="M7" s="2" t="inlineStr">
        <is>
          <t>Terminal Block Assembly</t>
        </is>
      </c>
    </row>
    <row r="8">
      <c r="A8" s="2" t="inlineStr">
        <is>
          <t>SKID-02</t>
        </is>
      </c>
      <c r="B8" s="2" t="n">
        <v>10</v>
      </c>
      <c r="C8" s="2" t="inlineStr">
        <is>
          <t>Drives</t>
        </is>
      </c>
      <c r="D8" s="2" t="inlineStr">
        <is>
          <t>VFD</t>
        </is>
      </c>
      <c r="E8" s="2" t="inlineStr">
        <is>
          <t>PowerFlex 755TS visible with HIM keypad</t>
        </is>
      </c>
      <c r="F8" s="6" t="inlineStr">
        <is>
          <t>PowerFlex 755TS family</t>
        </is>
      </c>
      <c r="G8" s="2" t="n">
        <v>1</v>
      </c>
      <c r="H8" s="2" t="inlineStr">
        <is>
          <t>Allen-Bradley</t>
        </is>
      </c>
      <c r="I8" s="7" t="inlineStr">
        <is>
          <t>High</t>
        </is>
      </c>
      <c r="J8" s="2" t="inlineStr">
        <is>
          <t>IMG_0199 right side</t>
        </is>
      </c>
      <c r="K8" s="6" t="inlineStr">
        <is>
          <t>Read voltage, HP/kW, enclosure and option cards.</t>
        </is>
      </c>
      <c r="L8" s="2" t="inlineStr">
        <is>
          <t>Add AC drive with line/load protection and network option.</t>
        </is>
      </c>
      <c r="M8" s="2" t="inlineStr">
        <is>
          <t>Variable Frequency Drive</t>
        </is>
      </c>
    </row>
    <row r="9">
      <c r="A9" s="2" t="inlineStr">
        <is>
          <t>SKID-02</t>
        </is>
      </c>
      <c r="B9" s="2" t="n">
        <v>20</v>
      </c>
      <c r="C9" s="2" t="inlineStr">
        <is>
          <t>Motion</t>
        </is>
      </c>
      <c r="D9" s="2" t="inlineStr">
        <is>
          <t>Servo drive</t>
        </is>
      </c>
      <c r="E9" s="2" t="inlineStr">
        <is>
          <t>Two Kinetix servo drive modules visible at upper left</t>
        </is>
      </c>
      <c r="F9" s="6" t="inlineStr">
        <is>
          <t>Kinetix 5700 family</t>
        </is>
      </c>
      <c r="G9" s="2" t="n">
        <v>2</v>
      </c>
      <c r="H9" s="2" t="inlineStr">
        <is>
          <t>Allen-Bradley</t>
        </is>
      </c>
      <c r="I9" s="7" t="inlineStr">
        <is>
          <t>High</t>
        </is>
      </c>
      <c r="J9" s="2" t="inlineStr">
        <is>
          <t>IMG_0199 upper left</t>
        </is>
      </c>
      <c r="K9" s="6" t="inlineStr">
        <is>
          <t>Verify bus supply / inverter module mix and current rating.</t>
        </is>
      </c>
      <c r="L9" s="2" t="inlineStr">
        <is>
          <t>Add motion bus supply and servo axis modules.</t>
        </is>
      </c>
      <c r="M9" s="2" t="inlineStr">
        <is>
          <t>Servo Drive</t>
        </is>
      </c>
    </row>
    <row r="10">
      <c r="A10" s="2" t="inlineStr">
        <is>
          <t>SKID-02</t>
        </is>
      </c>
      <c r="B10" s="2" t="n">
        <v>30</v>
      </c>
      <c r="C10" s="2" t="inlineStr">
        <is>
          <t>Network</t>
        </is>
      </c>
      <c r="D10" s="2" t="inlineStr">
        <is>
          <t>EtherNet/IP option cabling</t>
        </is>
      </c>
      <c r="E10" s="2" t="inlineStr">
        <is>
          <t>EtherNet/IP cables into PowerFlex and Kinetix devices</t>
        </is>
      </c>
      <c r="F10" s="6" t="inlineStr">
        <is>
          <t>EtherNet/IP embedded / option cards</t>
        </is>
      </c>
      <c r="G10" s="2" t="n">
        <v>3</v>
      </c>
      <c r="H10" s="2" t="inlineStr">
        <is>
          <t>Allen-Bradley</t>
        </is>
      </c>
      <c r="I10" s="7" t="inlineStr">
        <is>
          <t>Medium</t>
        </is>
      </c>
      <c r="J10" s="2" t="inlineStr">
        <is>
          <t>IMG_0199 network cabling</t>
        </is>
      </c>
      <c r="K10" s="6" t="inlineStr">
        <is>
          <t>Verify port topology and CIP Motion requirements.</t>
        </is>
      </c>
      <c r="L10" s="2" t="inlineStr">
        <is>
          <t>Connect drive and motion devices to associated skid switch.</t>
        </is>
      </c>
      <c r="M10" s="2" t="inlineStr">
        <is>
          <t>Network Interface</t>
        </is>
      </c>
    </row>
    <row r="11">
      <c r="A11" s="2" t="inlineStr">
        <is>
          <t>SKID-02</t>
        </is>
      </c>
      <c r="B11" s="2" t="n">
        <v>40</v>
      </c>
      <c r="C11" s="2" t="inlineStr">
        <is>
          <t>Power</t>
        </is>
      </c>
      <c r="D11" s="2" t="inlineStr">
        <is>
          <t>Disconnect / breaker</t>
        </is>
      </c>
      <c r="E11" s="2" t="inlineStr">
        <is>
          <t>DIN rail breaker and larger disconnect/protection device</t>
        </is>
      </c>
      <c r="F11" s="6" t="inlineStr">
        <is>
          <t>140M / 140G / 1492-SP family</t>
        </is>
      </c>
      <c r="G11" s="2" t="n">
        <v>3</v>
      </c>
      <c r="H11" s="2" t="inlineStr">
        <is>
          <t>Allen-Bradley</t>
        </is>
      </c>
      <c r="I11" s="7" t="inlineStr">
        <is>
          <t>Medium</t>
        </is>
      </c>
      <c r="J11" s="2" t="inlineStr">
        <is>
          <t>IMG_0199 center/right</t>
        </is>
      </c>
      <c r="K11" s="6" t="inlineStr">
        <is>
          <t>Verify FLA, short circuit ratings, and drive input protection.</t>
        </is>
      </c>
      <c r="L11" s="2" t="inlineStr">
        <is>
          <t>Add branch circuit protection for drive and motion axes.</t>
        </is>
      </c>
      <c r="M11" s="2" t="inlineStr">
        <is>
          <t>Circuit Protection</t>
        </is>
      </c>
    </row>
    <row r="12">
      <c r="A12" s="2" t="inlineStr">
        <is>
          <t>SKID-02</t>
        </is>
      </c>
      <c r="B12" s="2" t="n">
        <v>50</v>
      </c>
      <c r="C12" s="2" t="inlineStr">
        <is>
          <t>Motor Control</t>
        </is>
      </c>
      <c r="D12" s="2" t="inlineStr">
        <is>
          <t>Contactor / overload</t>
        </is>
      </c>
      <c r="E12" s="2" t="inlineStr">
        <is>
          <t>Contactor/overload assemblies at lower left</t>
        </is>
      </c>
      <c r="F12" s="6" t="inlineStr">
        <is>
          <t>100-C / 193-EE candidate</t>
        </is>
      </c>
      <c r="G12" s="2" t="n">
        <v>2</v>
      </c>
      <c r="H12" s="2" t="inlineStr">
        <is>
          <t>Allen-Bradley</t>
        </is>
      </c>
      <c r="I12" s="7" t="inlineStr">
        <is>
          <t>Medium</t>
        </is>
      </c>
      <c r="J12" s="2" t="inlineStr">
        <is>
          <t>IMG_0199 lower left</t>
        </is>
      </c>
      <c r="K12" s="6" t="inlineStr">
        <is>
          <t>Read contactor and overload nameplates.</t>
        </is>
      </c>
      <c r="L12" s="2" t="inlineStr">
        <is>
          <t>Add motor starter assemblies if used for auxiliary loads.</t>
        </is>
      </c>
      <c r="M12" s="2" t="inlineStr">
        <is>
          <t>Motor Starter</t>
        </is>
      </c>
    </row>
    <row r="13">
      <c r="A13" s="2" t="inlineStr">
        <is>
          <t>SKID-02</t>
        </is>
      </c>
      <c r="B13" s="2" t="n">
        <v>60</v>
      </c>
      <c r="C13" s="2" t="inlineStr">
        <is>
          <t>Wiring</t>
        </is>
      </c>
      <c r="D13" s="2" t="inlineStr">
        <is>
          <t>Terminal blocks / distribution</t>
        </is>
      </c>
      <c r="E13" s="2" t="inlineStr">
        <is>
          <t>Field terminal blocks at right and adjacent panel edges</t>
        </is>
      </c>
      <c r="F13" s="6" t="inlineStr">
        <is>
          <t>1492 / WAGO terminal blocks</t>
        </is>
      </c>
      <c r="G13" s="2" t="n">
        <v>3</v>
      </c>
      <c r="H13" s="2" t="inlineStr">
        <is>
          <t>Allen-Bradley / WAGO</t>
        </is>
      </c>
      <c r="I13" s="7" t="inlineStr">
        <is>
          <t>Medium</t>
        </is>
      </c>
      <c r="J13" s="2" t="inlineStr">
        <is>
          <t>IMG_0199 right side</t>
        </is>
      </c>
      <c r="K13" s="6" t="inlineStr">
        <is>
          <t>Confirm terminal counts and sensor/drive I/O mapping.</t>
        </is>
      </c>
      <c r="L13" s="2" t="inlineStr">
        <is>
          <t>Add as panel terminal assemblies.</t>
        </is>
      </c>
      <c r="M13" s="2" t="inlineStr">
        <is>
          <t>Terminal Block Assembly</t>
        </is>
      </c>
    </row>
    <row r="14">
      <c r="A14" s="2" t="inlineStr">
        <is>
          <t>SKID-03</t>
        </is>
      </c>
      <c r="B14" s="2" t="n">
        <v>10</v>
      </c>
      <c r="C14" s="2" t="inlineStr">
        <is>
          <t>HMI</t>
        </is>
      </c>
      <c r="D14" s="2" t="inlineStr">
        <is>
          <t>PanelView operator terminal</t>
        </is>
      </c>
      <c r="E14" s="2" t="inlineStr">
        <is>
          <t>Allen-Bradley PanelView-style HMI displaying station test screen</t>
        </is>
      </c>
      <c r="F14" s="6" t="inlineStr">
        <is>
          <t>PanelView Plus 7 / PanelView 5510 family</t>
        </is>
      </c>
      <c r="G14" s="2" t="n">
        <v>1</v>
      </c>
      <c r="H14" s="2" t="inlineStr">
        <is>
          <t>Allen-Bradley</t>
        </is>
      </c>
      <c r="I14" s="7" t="inlineStr">
        <is>
          <t>High</t>
        </is>
      </c>
      <c r="J14" s="2" t="inlineStr">
        <is>
          <t>IMG_0201 upper left</t>
        </is>
      </c>
      <c r="K14" s="6" t="inlineStr">
        <is>
          <t>Read HMI rear label for series, screen size, and Ethernet ports.</t>
        </is>
      </c>
      <c r="L14" s="2" t="inlineStr">
        <is>
          <t>Add HMI with mounting and power accessories.</t>
        </is>
      </c>
      <c r="M14" s="2" t="inlineStr">
        <is>
          <t>HMI</t>
        </is>
      </c>
    </row>
    <row r="15">
      <c r="A15" s="2" t="inlineStr">
        <is>
          <t>SKID-03</t>
        </is>
      </c>
      <c r="B15" s="2" t="n">
        <v>20</v>
      </c>
      <c r="C15" s="2" t="inlineStr">
        <is>
          <t>Controller</t>
        </is>
      </c>
      <c r="D15" s="2" t="inlineStr">
        <is>
          <t>Safety PLC</t>
        </is>
      </c>
      <c r="E15" s="2" t="inlineStr">
        <is>
          <t>Compact GuardLogix 5380 class controller with safety cards visible</t>
        </is>
      </c>
      <c r="F15" s="6" t="inlineStr">
        <is>
          <t>Compact GuardLogix 5380 / 5069 family</t>
        </is>
      </c>
      <c r="G15" s="2" t="n">
        <v>1</v>
      </c>
      <c r="H15" s="2" t="inlineStr">
        <is>
          <t>Allen-Bradley</t>
        </is>
      </c>
      <c r="I15" s="7" t="inlineStr">
        <is>
          <t>High</t>
        </is>
      </c>
      <c r="J15" s="2" t="inlineStr">
        <is>
          <t>IMG_0201 lower center</t>
        </is>
      </c>
      <c r="K15" s="6" t="inlineStr">
        <is>
          <t>Verify CPU, safety task support, memory and licensing.</t>
        </is>
      </c>
      <c r="L15" s="2" t="inlineStr">
        <is>
          <t>Add safety controller and local safety/standard I/O.</t>
        </is>
      </c>
      <c r="M15" s="2" t="inlineStr">
        <is>
          <t>Safety PLC</t>
        </is>
      </c>
    </row>
    <row r="16">
      <c r="A16" s="2" t="inlineStr">
        <is>
          <t>SKID-03</t>
        </is>
      </c>
      <c r="B16" s="2" t="n">
        <v>30</v>
      </c>
      <c r="C16" s="2" t="inlineStr">
        <is>
          <t>I/O</t>
        </is>
      </c>
      <c r="D16" s="2" t="inlineStr">
        <is>
          <t>Safety and standard I/O</t>
        </is>
      </c>
      <c r="E16" s="2" t="inlineStr">
        <is>
          <t>Local 5069 I/O modules and field I/O blocks</t>
        </is>
      </c>
      <c r="F16" s="6" t="inlineStr">
        <is>
          <t>5069 Compact I/O / POINT I/O / ArmorBlock family</t>
        </is>
      </c>
      <c r="G16" s="2" t="n">
        <v>6</v>
      </c>
      <c r="H16" s="2" t="inlineStr">
        <is>
          <t>Allen-Bradley</t>
        </is>
      </c>
      <c r="I16" s="7" t="inlineStr">
        <is>
          <t>Medium</t>
        </is>
      </c>
      <c r="J16" s="2" t="inlineStr">
        <is>
          <t>IMG_0201 lower center/right</t>
        </is>
      </c>
      <c r="K16" s="6" t="inlineStr">
        <is>
          <t>Identify exact module catalog numbers and channel counts.</t>
        </is>
      </c>
      <c r="L16" s="2" t="inlineStr">
        <is>
          <t>Add local and distributed I/O modules.</t>
        </is>
      </c>
      <c r="M16" s="2" t="inlineStr">
        <is>
          <t>I/O Module</t>
        </is>
      </c>
    </row>
    <row r="17">
      <c r="A17" s="2" t="inlineStr">
        <is>
          <t>SKID-03</t>
        </is>
      </c>
      <c r="B17" s="2" t="n">
        <v>40</v>
      </c>
      <c r="C17" s="2" t="inlineStr">
        <is>
          <t>Network</t>
        </is>
      </c>
      <c r="D17" s="2" t="inlineStr">
        <is>
          <t>Industrial computer / gateway</t>
        </is>
      </c>
      <c r="E17" s="2" t="inlineStr">
        <is>
          <t>Small Allen-Bradley industrial computer or gateway beneath HMI</t>
        </is>
      </c>
      <c r="F17" s="6" t="inlineStr">
        <is>
          <t>ASEM / VersaView / ThinManager-ready industrial computer candidate</t>
        </is>
      </c>
      <c r="G17" s="2" t="n">
        <v>1</v>
      </c>
      <c r="H17" s="2" t="inlineStr">
        <is>
          <t>Allen-Bradley</t>
        </is>
      </c>
      <c r="I17" s="7" t="inlineStr">
        <is>
          <t>Medium</t>
        </is>
      </c>
      <c r="J17" s="2" t="inlineStr">
        <is>
          <t>IMG_0201 under HMI</t>
        </is>
      </c>
      <c r="K17" s="6" t="inlineStr">
        <is>
          <t>Read nameplate for exact platform and whether it is IPC, thin client, or gateway.</t>
        </is>
      </c>
      <c r="L17" s="2" t="inlineStr">
        <is>
          <t>Add as industrial computer / HMI accessory.</t>
        </is>
      </c>
      <c r="M17" s="2" t="inlineStr">
        <is>
          <t>Industrial Computer</t>
        </is>
      </c>
    </row>
    <row r="18">
      <c r="A18" s="2" t="inlineStr">
        <is>
          <t>SKID-03</t>
        </is>
      </c>
      <c r="B18" s="2" t="n">
        <v>50</v>
      </c>
      <c r="C18" s="2" t="inlineStr">
        <is>
          <t>Network</t>
        </is>
      </c>
      <c r="D18" s="2" t="inlineStr">
        <is>
          <t>Managed Ethernet switch</t>
        </is>
      </c>
      <c r="E18" s="2" t="inlineStr">
        <is>
          <t>Blue managed switch / network appliance at lower left</t>
        </is>
      </c>
      <c r="F18" s="6" t="inlineStr">
        <is>
          <t>Stratix / third-party managed switch</t>
        </is>
      </c>
      <c r="G18" s="2" t="n">
        <v>1</v>
      </c>
      <c r="H18" s="2" t="inlineStr">
        <is>
          <t>Allen-Bradley / third-party</t>
        </is>
      </c>
      <c r="I18" s="7" t="inlineStr">
        <is>
          <t>Medium</t>
        </is>
      </c>
      <c r="J18" s="2" t="inlineStr">
        <is>
          <t>IMG_0201 lower left</t>
        </is>
      </c>
      <c r="K18" s="6" t="inlineStr">
        <is>
          <t>Confirm switch make, model and port count.</t>
        </is>
      </c>
      <c r="L18" s="2" t="inlineStr">
        <is>
          <t>Add switch and Ethernet drops.</t>
        </is>
      </c>
      <c r="M18" s="2" t="inlineStr">
        <is>
          <t>Ethernet Switch</t>
        </is>
      </c>
    </row>
    <row r="19">
      <c r="A19" s="2" t="inlineStr">
        <is>
          <t>SKID-03</t>
        </is>
      </c>
      <c r="B19" s="2" t="n">
        <v>60</v>
      </c>
      <c r="C19" s="2" t="inlineStr">
        <is>
          <t>Operator Interface</t>
        </is>
      </c>
      <c r="D19" s="2" t="inlineStr">
        <is>
          <t>Selector switches / pushbuttons</t>
        </is>
      </c>
      <c r="E19" s="2" t="inlineStr">
        <is>
          <t>Three-position selector switches and pushbuttons on black operator plate</t>
        </is>
      </c>
      <c r="F19" s="6" t="inlineStr">
        <is>
          <t>800F / 800T family</t>
        </is>
      </c>
      <c r="G19" s="2" t="n">
        <v>8</v>
      </c>
      <c r="H19" s="2" t="inlineStr">
        <is>
          <t>Allen-Bradley</t>
        </is>
      </c>
      <c r="I19" s="7" t="inlineStr">
        <is>
          <t>Medium</t>
        </is>
      </c>
      <c r="J19" s="2" t="inlineStr">
        <is>
          <t>IMG_0201 right side</t>
        </is>
      </c>
      <c r="K19" s="6" t="inlineStr">
        <is>
          <t>Verify contact block mix and lamp voltages.</t>
        </is>
      </c>
      <c r="L19" s="2" t="inlineStr">
        <is>
          <t>Add operator device station.</t>
        </is>
      </c>
      <c r="M19" s="2" t="inlineStr">
        <is>
          <t>Operator Device</t>
        </is>
      </c>
    </row>
    <row r="20">
      <c r="A20" s="2" t="inlineStr">
        <is>
          <t>SKID-03</t>
        </is>
      </c>
      <c r="B20" s="2" t="n">
        <v>70</v>
      </c>
      <c r="C20" s="2" t="inlineStr">
        <is>
          <t>Safety</t>
        </is>
      </c>
      <c r="D20" s="2" t="inlineStr">
        <is>
          <t>Safety I/O block / M12 connectivity</t>
        </is>
      </c>
      <c r="E20" s="2" t="inlineStr">
        <is>
          <t>M12 field I/O block with yellow safety leads</t>
        </is>
      </c>
      <c r="F20" s="6" t="inlineStr">
        <is>
          <t>ArmorBlock Guard I/O / 1732ES family</t>
        </is>
      </c>
      <c r="G20" s="2" t="n">
        <v>1</v>
      </c>
      <c r="H20" s="2" t="inlineStr">
        <is>
          <t>Allen-Bradley</t>
        </is>
      </c>
      <c r="I20" s="7" t="inlineStr">
        <is>
          <t>High</t>
        </is>
      </c>
      <c r="J20" s="2" t="inlineStr">
        <is>
          <t>IMG_0201 lower right</t>
        </is>
      </c>
      <c r="K20" s="6" t="inlineStr">
        <is>
          <t>Verify safety input/output channel count.</t>
        </is>
      </c>
      <c r="L20" s="2" t="inlineStr">
        <is>
          <t>Add distributed safety I/O block.</t>
        </is>
      </c>
      <c r="M20" s="2" t="inlineStr">
        <is>
          <t>Safety I/O</t>
        </is>
      </c>
    </row>
    <row r="21">
      <c r="A21" s="2" t="inlineStr">
        <is>
          <t>SKID-04</t>
        </is>
      </c>
      <c r="B21" s="2" t="n">
        <v>10</v>
      </c>
      <c r="C21" s="2" t="inlineStr">
        <is>
          <t>Motion</t>
        </is>
      </c>
      <c r="D21" s="2" t="inlineStr">
        <is>
          <t>Servo drive</t>
        </is>
      </c>
      <c r="E21" s="2" t="inlineStr">
        <is>
          <t>Kinetix drive module(s) and motor cabling feeding axis fixture</t>
        </is>
      </c>
      <c r="F21" s="6" t="inlineStr">
        <is>
          <t>Kinetix 5500 / 5700 family</t>
        </is>
      </c>
      <c r="G21" s="2" t="n">
        <v>2</v>
      </c>
      <c r="H21" s="2" t="inlineStr">
        <is>
          <t>Allen-Bradley</t>
        </is>
      </c>
      <c r="I21" s="7" t="inlineStr">
        <is>
          <t>High</t>
        </is>
      </c>
      <c r="J21" s="2" t="inlineStr">
        <is>
          <t>IMG_0205 upper center</t>
        </is>
      </c>
      <c r="K21" s="6" t="inlineStr">
        <is>
          <t>Read module labels for exact family and current ratings.</t>
        </is>
      </c>
      <c r="L21" s="2" t="inlineStr">
        <is>
          <t>Add servo drive axis set with motor feedback and power cables.</t>
        </is>
      </c>
      <c r="M21" s="2" t="inlineStr">
        <is>
          <t>Servo Drive</t>
        </is>
      </c>
    </row>
    <row r="22">
      <c r="A22" s="2" t="inlineStr">
        <is>
          <t>SKID-04</t>
        </is>
      </c>
      <c r="B22" s="2" t="n">
        <v>20</v>
      </c>
      <c r="C22" s="2" t="inlineStr">
        <is>
          <t>Motion</t>
        </is>
      </c>
      <c r="D22" s="2" t="inlineStr">
        <is>
          <t>Servo motor / axis assembly</t>
        </is>
      </c>
      <c r="E22" s="2" t="inlineStr">
        <is>
          <t>Servo motor and guarded linear/rotary test fixture</t>
        </is>
      </c>
      <c r="F22" s="6" t="inlineStr">
        <is>
          <t>Kinetix VP / MPL motor family candidate</t>
        </is>
      </c>
      <c r="G22" s="2" t="n">
        <v>1</v>
      </c>
      <c r="H22" s="2" t="inlineStr">
        <is>
          <t>Allen-Bradley</t>
        </is>
      </c>
      <c r="I22" s="7" t="inlineStr">
        <is>
          <t>Medium</t>
        </is>
      </c>
      <c r="J22" s="2" t="inlineStr">
        <is>
          <t>IMG_0205 lower left</t>
        </is>
      </c>
      <c r="K22" s="6" t="inlineStr">
        <is>
          <t>Read motor nameplate and axis mechanics.</t>
        </is>
      </c>
      <c r="L22" s="2" t="inlineStr">
        <is>
          <t>Add motor, cables, feedback and mechanical load notes.</t>
        </is>
      </c>
      <c r="M22" s="2" t="inlineStr">
        <is>
          <t>Servo Motor</t>
        </is>
      </c>
    </row>
    <row r="23">
      <c r="A23" s="2" t="inlineStr">
        <is>
          <t>SKID-04</t>
        </is>
      </c>
      <c r="B23" s="2" t="n">
        <v>30</v>
      </c>
      <c r="C23" s="2" t="inlineStr">
        <is>
          <t>Controller</t>
        </is>
      </c>
      <c r="D23" s="2" t="inlineStr">
        <is>
          <t>Distributed controller / I/O</t>
        </is>
      </c>
      <c r="E23" s="2" t="inlineStr">
        <is>
          <t>POINT I/O rack and controller/safety modules visible at upper right</t>
        </is>
      </c>
      <c r="F23" s="6" t="inlineStr">
        <is>
          <t>1734 POINT I/O / 5069 Compact I/O candidate</t>
        </is>
      </c>
      <c r="G23" s="2" t="n">
        <v>1</v>
      </c>
      <c r="H23" s="2" t="inlineStr">
        <is>
          <t>Allen-Bradley</t>
        </is>
      </c>
      <c r="I23" s="7" t="inlineStr">
        <is>
          <t>Medium</t>
        </is>
      </c>
      <c r="J23" s="2" t="inlineStr">
        <is>
          <t>IMG_0205 upper right</t>
        </is>
      </c>
      <c r="K23" s="6" t="inlineStr">
        <is>
          <t>Verify whether rack is controller, adapter, or remote I/O.</t>
        </is>
      </c>
      <c r="L23" s="2" t="inlineStr">
        <is>
          <t>Add adapter and modules with point counts.</t>
        </is>
      </c>
      <c r="M23" s="2" t="inlineStr">
        <is>
          <t>I/O Assembly</t>
        </is>
      </c>
    </row>
    <row r="24">
      <c r="A24" s="2" t="inlineStr">
        <is>
          <t>SKID-04</t>
        </is>
      </c>
      <c r="B24" s="2" t="n">
        <v>40</v>
      </c>
      <c r="C24" s="2" t="inlineStr">
        <is>
          <t>Safety</t>
        </is>
      </c>
      <c r="D24" s="2" t="inlineStr">
        <is>
          <t>Guard locking / safety switch</t>
        </is>
      </c>
      <c r="E24" s="2" t="inlineStr">
        <is>
          <t>Red Guardmaster-style safety locking/safety switch on guard door</t>
        </is>
      </c>
      <c r="F24" s="6" t="inlineStr">
        <is>
          <t>440G / 440N Guardmaster family</t>
        </is>
      </c>
      <c r="G24" s="2" t="n">
        <v>1</v>
      </c>
      <c r="H24" s="2" t="inlineStr">
        <is>
          <t>Allen-Bradley</t>
        </is>
      </c>
      <c r="I24" s="7" t="inlineStr">
        <is>
          <t>High</t>
        </is>
      </c>
      <c r="J24" s="2" t="inlineStr">
        <is>
          <t>IMG_0205 lower center/right</t>
        </is>
      </c>
      <c r="K24" s="6" t="inlineStr">
        <is>
          <t>Verify OSSD, locking force, and actuator type.</t>
        </is>
      </c>
      <c r="L24" s="2" t="inlineStr">
        <is>
          <t>Add guard locking switch and safety wiring.</t>
        </is>
      </c>
      <c r="M24" s="2" t="inlineStr">
        <is>
          <t>Safety Switch</t>
        </is>
      </c>
    </row>
    <row r="25">
      <c r="A25" s="2" t="inlineStr">
        <is>
          <t>SKID-04</t>
        </is>
      </c>
      <c r="B25" s="2" t="n">
        <v>50</v>
      </c>
      <c r="C25" s="2" t="inlineStr">
        <is>
          <t>Safety</t>
        </is>
      </c>
      <c r="D25" s="2" t="inlineStr">
        <is>
          <t>Safety interlock sensor</t>
        </is>
      </c>
      <c r="E25" s="2" t="inlineStr">
        <is>
          <t>Red safety sensor/actuator mounted to sliding guard</t>
        </is>
      </c>
      <c r="F25" s="6" t="inlineStr">
        <is>
          <t>440N / 440G / Guardmaster family</t>
        </is>
      </c>
      <c r="G25" s="2" t="n">
        <v>1</v>
      </c>
      <c r="H25" s="2" t="inlineStr">
        <is>
          <t>Allen-Bradley</t>
        </is>
      </c>
      <c r="I25" s="7" t="inlineStr">
        <is>
          <t>High</t>
        </is>
      </c>
      <c r="J25" s="2" t="inlineStr">
        <is>
          <t>IMG_0205 center lower</t>
        </is>
      </c>
      <c r="K25" s="6" t="inlineStr">
        <is>
          <t>Verify sensor type and safety rating.</t>
        </is>
      </c>
      <c r="L25" s="2" t="inlineStr">
        <is>
          <t>Add safety sensor with matching actuator.</t>
        </is>
      </c>
      <c r="M25" s="2" t="inlineStr">
        <is>
          <t>Safety Sensor</t>
        </is>
      </c>
    </row>
    <row r="26">
      <c r="A26" s="2" t="inlineStr">
        <is>
          <t>SKID-04</t>
        </is>
      </c>
      <c r="B26" s="2" t="n">
        <v>60</v>
      </c>
      <c r="C26" s="2" t="inlineStr">
        <is>
          <t>Operator Interface</t>
        </is>
      </c>
      <c r="D26" s="2" t="inlineStr">
        <is>
          <t>Pushbutton / E-stop station</t>
        </is>
      </c>
      <c r="E26" s="2" t="inlineStr">
        <is>
          <t>Pushbutton station with red/blue/black/E-stop buttons</t>
        </is>
      </c>
      <c r="F26" s="6" t="inlineStr">
        <is>
          <t>800F / 800T family</t>
        </is>
      </c>
      <c r="G26" s="2" t="n">
        <v>1</v>
      </c>
      <c r="H26" s="2" t="inlineStr">
        <is>
          <t>Allen-Bradley</t>
        </is>
      </c>
      <c r="I26" s="7" t="inlineStr">
        <is>
          <t>Medium</t>
        </is>
      </c>
      <c r="J26" s="2" t="inlineStr">
        <is>
          <t>IMG_0205 right side</t>
        </is>
      </c>
      <c r="K26" s="6" t="inlineStr">
        <is>
          <t>Verify contact blocks and E-stop reset design.</t>
        </is>
      </c>
      <c r="L26" s="2" t="inlineStr">
        <is>
          <t>Add operator station.</t>
        </is>
      </c>
      <c r="M26" s="2" t="inlineStr">
        <is>
          <t>Operator Device</t>
        </is>
      </c>
    </row>
    <row r="27">
      <c r="A27" s="2" t="inlineStr">
        <is>
          <t>SKID-04</t>
        </is>
      </c>
      <c r="B27" s="2" t="n">
        <v>70</v>
      </c>
      <c r="C27" s="2" t="inlineStr">
        <is>
          <t>Wiring</t>
        </is>
      </c>
      <c r="D27" s="2" t="inlineStr">
        <is>
          <t>Terminal blocks / safety marshalling</t>
        </is>
      </c>
      <c r="E27" s="2" t="inlineStr">
        <is>
          <t>Field terminal blocks on right with safety/standard wiring</t>
        </is>
      </c>
      <c r="F27" s="6" t="inlineStr">
        <is>
          <t>1492 / WAGO terminal blocks</t>
        </is>
      </c>
      <c r="G27" s="2" t="n">
        <v>2</v>
      </c>
      <c r="H27" s="2" t="inlineStr">
        <is>
          <t>Allen-Bradley / WAGO</t>
        </is>
      </c>
      <c r="I27" s="7" t="inlineStr">
        <is>
          <t>Medium</t>
        </is>
      </c>
      <c r="J27" s="2" t="inlineStr">
        <is>
          <t>IMG_0205 right side</t>
        </is>
      </c>
      <c r="K27" s="6" t="inlineStr">
        <is>
          <t>Verify terminal counts and labeling.</t>
        </is>
      </c>
      <c r="L27" s="2" t="inlineStr">
        <is>
          <t>Add terminal assemblies.</t>
        </is>
      </c>
      <c r="M27" s="2" t="inlineStr">
        <is>
          <t>Terminal Block Assembly</t>
        </is>
      </c>
    </row>
    <row r="28">
      <c r="A28" s="2" t="inlineStr">
        <is>
          <t>SKID-05</t>
        </is>
      </c>
      <c r="B28" s="2" t="n">
        <v>10</v>
      </c>
      <c r="C28" s="2" t="inlineStr">
        <is>
          <t>Safety</t>
        </is>
      </c>
      <c r="D28" s="2" t="inlineStr">
        <is>
          <t>Safety light curtains</t>
        </is>
      </c>
      <c r="E28" s="2" t="inlineStr">
        <is>
          <t>Two Allen-Bradley GuardShield light curtain columns</t>
        </is>
      </c>
      <c r="F28" s="6" t="inlineStr">
        <is>
          <t>GuardShield 450L / 440L family</t>
        </is>
      </c>
      <c r="G28" s="2" t="n">
        <v>2</v>
      </c>
      <c r="H28" s="2" t="inlineStr">
        <is>
          <t>Allen-Bradley</t>
        </is>
      </c>
      <c r="I28" s="7" t="inlineStr">
        <is>
          <t>High</t>
        </is>
      </c>
      <c r="J28" s="2" t="inlineStr">
        <is>
          <t>IMG_0206 left and right vertical devices</t>
        </is>
      </c>
      <c r="K28" s="6" t="inlineStr">
        <is>
          <t>Read model height, resolution, range and muting/cascading details.</t>
        </is>
      </c>
      <c r="L28" s="2" t="inlineStr">
        <is>
          <t>Add transmitter/receiver pair with brackets and cables.</t>
        </is>
      </c>
      <c r="M28" s="2" t="inlineStr">
        <is>
          <t>Light Curtain</t>
        </is>
      </c>
    </row>
    <row r="29">
      <c r="A29" s="2" t="inlineStr">
        <is>
          <t>SKID-05</t>
        </is>
      </c>
      <c r="B29" s="2" t="n">
        <v>20</v>
      </c>
      <c r="C29" s="2" t="inlineStr">
        <is>
          <t>Safety</t>
        </is>
      </c>
      <c r="D29" s="2" t="inlineStr">
        <is>
          <t>Guardmaster safety interlocks</t>
        </is>
      </c>
      <c r="E29" s="2" t="inlineStr">
        <is>
          <t>Multiple red Guardmaster safety switch/sensor devices</t>
        </is>
      </c>
      <c r="F29" s="6" t="inlineStr">
        <is>
          <t>440N / 440G / 440K Guardmaster family</t>
        </is>
      </c>
      <c r="G29" s="2" t="n">
        <v>5</v>
      </c>
      <c r="H29" s="2" t="inlineStr">
        <is>
          <t>Allen-Bradley</t>
        </is>
      </c>
      <c r="I29" s="7" t="inlineStr">
        <is>
          <t>High</t>
        </is>
      </c>
      <c r="J29" s="2" t="inlineStr">
        <is>
          <t>IMG_0206 center</t>
        </is>
      </c>
      <c r="K29" s="6" t="inlineStr">
        <is>
          <t>Confirm individual switch function, OSSD/contacts and actuator types.</t>
        </is>
      </c>
      <c r="L29" s="2" t="inlineStr">
        <is>
          <t>Add each safety switch as a guarding device.</t>
        </is>
      </c>
      <c r="M29" s="2" t="inlineStr">
        <is>
          <t>Safety Switch</t>
        </is>
      </c>
    </row>
    <row r="30">
      <c r="A30" s="2" t="inlineStr">
        <is>
          <t>SKID-05</t>
        </is>
      </c>
      <c r="B30" s="2" t="n">
        <v>30</v>
      </c>
      <c r="C30" s="2" t="inlineStr">
        <is>
          <t>Safety</t>
        </is>
      </c>
      <c r="D30" s="2" t="inlineStr">
        <is>
          <t>Zone E-stops</t>
        </is>
      </c>
      <c r="E30" s="2" t="inlineStr">
        <is>
          <t>Zone 1, Zone 2 and master E-stop stations</t>
        </is>
      </c>
      <c r="F30" s="6" t="inlineStr">
        <is>
          <t>800F / 800T E-stop family</t>
        </is>
      </c>
      <c r="G30" s="2" t="n">
        <v>3</v>
      </c>
      <c r="H30" s="2" t="inlineStr">
        <is>
          <t>Allen-Bradley</t>
        </is>
      </c>
      <c r="I30" s="7" t="inlineStr">
        <is>
          <t>High</t>
        </is>
      </c>
      <c r="J30" s="2" t="inlineStr">
        <is>
          <t>IMG_0206 left and lower center</t>
        </is>
      </c>
      <c r="K30" s="6" t="inlineStr">
        <is>
          <t>Verify dual-channel contact configuration and reset logic.</t>
        </is>
      </c>
      <c r="L30" s="2" t="inlineStr">
        <is>
          <t>Add emergency stop devices and reset station.</t>
        </is>
      </c>
      <c r="M30" s="2" t="inlineStr">
        <is>
          <t>Emergency Stop</t>
        </is>
      </c>
    </row>
    <row r="31">
      <c r="A31" s="2" t="inlineStr">
        <is>
          <t>SKID-05</t>
        </is>
      </c>
      <c r="B31" s="2" t="n">
        <v>40</v>
      </c>
      <c r="C31" s="2" t="inlineStr">
        <is>
          <t>Safety</t>
        </is>
      </c>
      <c r="D31" s="2" t="inlineStr">
        <is>
          <t>Safety I/O / ArmorBlock</t>
        </is>
      </c>
      <c r="E31" s="2" t="inlineStr">
        <is>
          <t>M12 safety/standard I/O blocks at lower left</t>
        </is>
      </c>
      <c r="F31" s="6" t="inlineStr">
        <is>
          <t>1732ES ArmorBlock Guard I/O candidate</t>
        </is>
      </c>
      <c r="G31" s="2" t="n">
        <v>2</v>
      </c>
      <c r="H31" s="2" t="inlineStr">
        <is>
          <t>Allen-Bradley</t>
        </is>
      </c>
      <c r="I31" s="7" t="inlineStr">
        <is>
          <t>High</t>
        </is>
      </c>
      <c r="J31" s="2" t="inlineStr">
        <is>
          <t>IMG_0206 lower left</t>
        </is>
      </c>
      <c r="K31" s="6" t="inlineStr">
        <is>
          <t>Verify safety input and output point count.</t>
        </is>
      </c>
      <c r="L31" s="2" t="inlineStr">
        <is>
          <t>Add distributed safety I/O block(s).</t>
        </is>
      </c>
      <c r="M31" s="2" t="inlineStr">
        <is>
          <t>Safety I/O</t>
        </is>
      </c>
    </row>
    <row r="32">
      <c r="A32" s="2" t="inlineStr">
        <is>
          <t>SKID-05</t>
        </is>
      </c>
      <c r="B32" s="2" t="n">
        <v>50</v>
      </c>
      <c r="C32" s="2" t="inlineStr">
        <is>
          <t>Operator Interface</t>
        </is>
      </c>
      <c r="D32" s="2" t="inlineStr">
        <is>
          <t>Status indicators</t>
        </is>
      </c>
      <c r="E32" s="2" t="inlineStr">
        <is>
          <t>Zone indicator pilot lights and colored pushbuttons</t>
        </is>
      </c>
      <c r="F32" s="6" t="inlineStr">
        <is>
          <t>800F / 800T pilot light family</t>
        </is>
      </c>
      <c r="G32" s="2" t="n">
        <v>6</v>
      </c>
      <c r="H32" s="2" t="inlineStr">
        <is>
          <t>Allen-Bradley</t>
        </is>
      </c>
      <c r="I32" s="7" t="inlineStr">
        <is>
          <t>Medium</t>
        </is>
      </c>
      <c r="J32" s="2" t="inlineStr">
        <is>
          <t>IMG_0206 left</t>
        </is>
      </c>
      <c r="K32" s="6" t="inlineStr">
        <is>
          <t>Verify lamp voltage and status mapping.</t>
        </is>
      </c>
      <c r="L32" s="2" t="inlineStr">
        <is>
          <t>Add pilot devices.</t>
        </is>
      </c>
      <c r="M32" s="2" t="inlineStr">
        <is>
          <t>Operator Device</t>
        </is>
      </c>
    </row>
    <row r="33">
      <c r="A33" s="2" t="inlineStr">
        <is>
          <t>SKID-05</t>
        </is>
      </c>
      <c r="B33" s="2" t="n">
        <v>60</v>
      </c>
      <c r="C33" s="2" t="inlineStr">
        <is>
          <t>Wiring</t>
        </is>
      </c>
      <c r="D33" s="2" t="inlineStr">
        <is>
          <t>Terminal block marshalling</t>
        </is>
      </c>
      <c r="E33" s="2" t="inlineStr">
        <is>
          <t>DIN rail terminal block bank at lower right</t>
        </is>
      </c>
      <c r="F33" s="6" t="inlineStr">
        <is>
          <t>1492 / WAGO terminal blocks</t>
        </is>
      </c>
      <c r="G33" s="2" t="n">
        <v>1</v>
      </c>
      <c r="H33" s="2" t="inlineStr">
        <is>
          <t>Allen-Bradley / WAGO</t>
        </is>
      </c>
      <c r="I33" s="7" t="inlineStr">
        <is>
          <t>Medium</t>
        </is>
      </c>
      <c r="J33" s="2" t="inlineStr">
        <is>
          <t>IMG_0206 lower right</t>
        </is>
      </c>
      <c r="K33" s="6" t="inlineStr">
        <is>
          <t>Confirm terminal block count and jumper scheme.</t>
        </is>
      </c>
      <c r="L33" s="2" t="inlineStr">
        <is>
          <t>Add terminal assemblies.</t>
        </is>
      </c>
      <c r="M33" s="2" t="inlineStr">
        <is>
          <t>Terminal Block Assembly</t>
        </is>
      </c>
    </row>
    <row r="34">
      <c r="A34" s="2" t="inlineStr">
        <is>
          <t>SKID-06</t>
        </is>
      </c>
      <c r="B34" s="2" t="n">
        <v>10</v>
      </c>
      <c r="C34" s="2" t="inlineStr">
        <is>
          <t>HMI</t>
        </is>
      </c>
      <c r="D34" s="2" t="inlineStr">
        <is>
          <t>PanelView HMI</t>
        </is>
      </c>
      <c r="E34" s="2" t="inlineStr">
        <is>
          <t>Allen-Bradley HMI showing machine overview</t>
        </is>
      </c>
      <c r="F34" s="6" t="inlineStr">
        <is>
          <t>PanelView Plus / PanelView 800 family</t>
        </is>
      </c>
      <c r="G34" s="2" t="n">
        <v>1</v>
      </c>
      <c r="H34" s="2" t="inlineStr">
        <is>
          <t>Allen-Bradley</t>
        </is>
      </c>
      <c r="I34" s="7" t="inlineStr">
        <is>
          <t>High</t>
        </is>
      </c>
      <c r="J34" s="2" t="inlineStr">
        <is>
          <t>IMG_0209 lower center</t>
        </is>
      </c>
      <c r="K34" s="6" t="inlineStr">
        <is>
          <t>Read rear label for display size, family and power.</t>
        </is>
      </c>
      <c r="L34" s="2" t="inlineStr">
        <is>
          <t>Add HMI and accessories.</t>
        </is>
      </c>
      <c r="M34" s="2" t="inlineStr">
        <is>
          <t>HMI</t>
        </is>
      </c>
    </row>
    <row r="35">
      <c r="A35" s="2" t="inlineStr">
        <is>
          <t>SKID-06</t>
        </is>
      </c>
      <c r="B35" s="2" t="n">
        <v>20</v>
      </c>
      <c r="C35" s="2" t="inlineStr">
        <is>
          <t>Controller</t>
        </is>
      </c>
      <c r="D35" s="2" t="inlineStr">
        <is>
          <t>Compact machine controller</t>
        </is>
      </c>
      <c r="E35" s="2" t="inlineStr">
        <is>
          <t>PLC/controller assembly at upper center with I/O modules</t>
        </is>
      </c>
      <c r="F35" s="6" t="inlineStr">
        <is>
          <t>Micro800 / CompactLogix / Compact GuardLogix candidate</t>
        </is>
      </c>
      <c r="G35" s="2" t="n">
        <v>1</v>
      </c>
      <c r="H35" s="2" t="inlineStr">
        <is>
          <t>Allen-Bradley</t>
        </is>
      </c>
      <c r="I35" s="7" t="inlineStr">
        <is>
          <t>Medium</t>
        </is>
      </c>
      <c r="J35" s="2" t="inlineStr">
        <is>
          <t>IMG_0209 upper center</t>
        </is>
      </c>
      <c r="K35" s="6" t="inlineStr">
        <is>
          <t>Read controller faceplate and project file to distinguish Micro800 vs CompactLogix.</t>
        </is>
      </c>
      <c r="L35" s="2" t="inlineStr">
        <is>
          <t>Add controller and local I/O modules.</t>
        </is>
      </c>
      <c r="M35" s="2" t="inlineStr">
        <is>
          <t>PLC Controller</t>
        </is>
      </c>
    </row>
    <row r="36">
      <c r="A36" s="2" t="inlineStr">
        <is>
          <t>SKID-06</t>
        </is>
      </c>
      <c r="B36" s="2" t="n">
        <v>30</v>
      </c>
      <c r="C36" s="2" t="inlineStr">
        <is>
          <t>Network</t>
        </is>
      </c>
      <c r="D36" s="2" t="inlineStr">
        <is>
          <t>Managed switch</t>
        </is>
      </c>
      <c r="E36" s="2" t="inlineStr">
        <is>
          <t>Allen-Bradley Stratix switch visible mid-left</t>
        </is>
      </c>
      <c r="F36" s="6" t="inlineStr">
        <is>
          <t>Stratix 5700 / Stratix 5200 candidate</t>
        </is>
      </c>
      <c r="G36" s="2" t="n">
        <v>1</v>
      </c>
      <c r="H36" s="2" t="inlineStr">
        <is>
          <t>Allen-Bradley</t>
        </is>
      </c>
      <c r="I36" s="7" t="inlineStr">
        <is>
          <t>High</t>
        </is>
      </c>
      <c r="J36" s="2" t="inlineStr">
        <is>
          <t>IMG_0209 middle left</t>
        </is>
      </c>
      <c r="K36" s="6" t="inlineStr">
        <is>
          <t>Read exact switch model and port count.</t>
        </is>
      </c>
      <c r="L36" s="2" t="inlineStr">
        <is>
          <t>Add managed switch with Ethernet ports.</t>
        </is>
      </c>
      <c r="M36" s="2" t="inlineStr">
        <is>
          <t>Ethernet Switch</t>
        </is>
      </c>
    </row>
    <row r="37">
      <c r="A37" s="2" t="inlineStr">
        <is>
          <t>SKID-06</t>
        </is>
      </c>
      <c r="B37" s="2" t="n">
        <v>40</v>
      </c>
      <c r="C37" s="2" t="inlineStr">
        <is>
          <t>Motion</t>
        </is>
      </c>
      <c r="D37" s="2" t="inlineStr">
        <is>
          <t>Linear actuator / motor load</t>
        </is>
      </c>
      <c r="E37" s="2" t="inlineStr">
        <is>
          <t>Vertical actuator/servo or linear motion assembly on left</t>
        </is>
      </c>
      <c r="F37" s="6" t="inlineStr">
        <is>
          <t>Kinetix servo motor / actuator candidate</t>
        </is>
      </c>
      <c r="G37" s="2" t="n">
        <v>1</v>
      </c>
      <c r="H37" s="2" t="inlineStr">
        <is>
          <t>Allen-Bradley / third-party</t>
        </is>
      </c>
      <c r="I37" s="7" t="inlineStr">
        <is>
          <t>Medium</t>
        </is>
      </c>
      <c r="J37" s="2" t="inlineStr">
        <is>
          <t>IMG_0209 left</t>
        </is>
      </c>
      <c r="K37" s="6" t="inlineStr">
        <is>
          <t>Read actuator and motor labels.</t>
        </is>
      </c>
      <c r="L37" s="2" t="inlineStr">
        <is>
          <t>Add motor/load as driven equipment.</t>
        </is>
      </c>
      <c r="M37" s="2" t="inlineStr">
        <is>
          <t>Actuator</t>
        </is>
      </c>
    </row>
    <row r="38">
      <c r="A38" s="2" t="inlineStr">
        <is>
          <t>SKID-06</t>
        </is>
      </c>
      <c r="B38" s="2" t="n">
        <v>50</v>
      </c>
      <c r="C38" s="2" t="inlineStr">
        <is>
          <t>Drives</t>
        </is>
      </c>
      <c r="D38" s="2" t="inlineStr">
        <is>
          <t>VFD / servo drive</t>
        </is>
      </c>
      <c r="E38" s="2" t="inlineStr">
        <is>
          <t>Drive technology at upper right with Ethernet and power cabling</t>
        </is>
      </c>
      <c r="F38" s="6" t="inlineStr">
        <is>
          <t>PowerFlex 520 / Kinetix candidate</t>
        </is>
      </c>
      <c r="G38" s="2" t="n">
        <v>1</v>
      </c>
      <c r="H38" s="2" t="inlineStr">
        <is>
          <t>Allen-Bradley</t>
        </is>
      </c>
      <c r="I38" s="7" t="inlineStr">
        <is>
          <t>Medium</t>
        </is>
      </c>
      <c r="J38" s="2" t="inlineStr">
        <is>
          <t>IMG_0209 upper right</t>
        </is>
      </c>
      <c r="K38" s="6" t="inlineStr">
        <is>
          <t>Read drive label to confirm VFD vs servo drive family and size.</t>
        </is>
      </c>
      <c r="L38" s="2" t="inlineStr">
        <is>
          <t>Add drive module and branch protection.</t>
        </is>
      </c>
      <c r="M38" s="2" t="inlineStr">
        <is>
          <t>Drive</t>
        </is>
      </c>
    </row>
    <row r="39">
      <c r="A39" s="2" t="inlineStr">
        <is>
          <t>SKID-06</t>
        </is>
      </c>
      <c r="B39" s="2" t="n">
        <v>60</v>
      </c>
      <c r="C39" s="2" t="inlineStr">
        <is>
          <t>Power</t>
        </is>
      </c>
      <c r="D39" s="2" t="inlineStr">
        <is>
          <t>Power supply and circuit protection</t>
        </is>
      </c>
      <c r="E39" s="2" t="inlineStr">
        <is>
          <t>DIN rail DC power supply, breakers, contactors and branch protection</t>
        </is>
      </c>
      <c r="F39" s="6" t="inlineStr">
        <is>
          <t>1606-XLE / 1492-SP / 100-C family</t>
        </is>
      </c>
      <c r="G39" s="2" t="n">
        <v>5</v>
      </c>
      <c r="H39" s="2" t="inlineStr">
        <is>
          <t>Allen-Bradley</t>
        </is>
      </c>
      <c r="I39" s="7" t="inlineStr">
        <is>
          <t>Medium</t>
        </is>
      </c>
      <c r="J39" s="2" t="inlineStr">
        <is>
          <t>IMG_0209 upper/middle panel</t>
        </is>
      </c>
      <c r="K39" s="6" t="inlineStr">
        <is>
          <t>Verify voltage/current ratings and protective device sizes.</t>
        </is>
      </c>
      <c r="L39" s="2" t="inlineStr">
        <is>
          <t>Add power supply and branch protection.</t>
        </is>
      </c>
      <c r="M39" s="2" t="inlineStr">
        <is>
          <t>Power Distribution</t>
        </is>
      </c>
    </row>
    <row r="40">
      <c r="A40" s="2" t="inlineStr">
        <is>
          <t>SKID-06</t>
        </is>
      </c>
      <c r="B40" s="2" t="n">
        <v>70</v>
      </c>
      <c r="C40" s="2" t="inlineStr">
        <is>
          <t>I/O</t>
        </is>
      </c>
      <c r="D40" s="2" t="inlineStr">
        <is>
          <t>Distributed I/O and terminals</t>
        </is>
      </c>
      <c r="E40" s="2" t="inlineStr">
        <is>
          <t>Terminal block and field wiring assemblies on right</t>
        </is>
      </c>
      <c r="F40" s="6" t="inlineStr">
        <is>
          <t>1734/5069/1492/WAGO candidate</t>
        </is>
      </c>
      <c r="G40" s="2" t="n">
        <v>3</v>
      </c>
      <c r="H40" s="2" t="inlineStr">
        <is>
          <t>Allen-Bradley / WAGO</t>
        </is>
      </c>
      <c r="I40" s="7" t="inlineStr">
        <is>
          <t>Medium</t>
        </is>
      </c>
      <c r="J40" s="2" t="inlineStr">
        <is>
          <t>IMG_0209 right</t>
        </is>
      </c>
      <c r="K40" s="6" t="inlineStr">
        <is>
          <t>Verify module and terminal count.</t>
        </is>
      </c>
      <c r="L40" s="2" t="inlineStr">
        <is>
          <t>Add I/O and terminal assemblies.</t>
        </is>
      </c>
      <c r="M40" s="2" t="inlineStr">
        <is>
          <t>I/O Assembly</t>
        </is>
      </c>
    </row>
  </sheetData>
  <autoFilter ref="A1:M40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8" customWidth="1" min="4" max="4"/>
    <col width="24" customWidth="1" min="5" max="5"/>
    <col width="18" customWidth="1" min="6" max="6"/>
    <col width="20" customWidth="1" min="7" max="7"/>
    <col width="40" customWidth="1" min="8" max="8"/>
  </cols>
  <sheetData>
    <row r="1">
      <c r="A1" s="1" t="inlineStr">
        <is>
          <t>Skid_ID</t>
        </is>
      </c>
      <c r="B1" s="1" t="inlineStr">
        <is>
          <t>Device Role</t>
        </is>
      </c>
      <c r="C1" s="1" t="inlineStr">
        <is>
          <t>Likely Device</t>
        </is>
      </c>
      <c r="D1" s="1" t="inlineStr">
        <is>
          <t>Connection Type</t>
        </is>
      </c>
      <c r="E1" s="1" t="inlineStr">
        <is>
          <t>Likely Connected To</t>
        </is>
      </c>
      <c r="F1" s="1" t="inlineStr">
        <is>
          <t>IP / Node Placeholder</t>
        </is>
      </c>
      <c r="G1" s="1" t="inlineStr">
        <is>
          <t>CIP Safety / CIP Motion</t>
        </is>
      </c>
      <c r="H1" s="1" t="inlineStr">
        <is>
          <t>Notes</t>
        </is>
      </c>
    </row>
    <row r="2">
      <c r="A2" s="2" t="inlineStr">
        <is>
          <t>SKID-01</t>
        </is>
      </c>
      <c r="B2" s="2" t="inlineStr">
        <is>
          <t>PLC</t>
        </is>
      </c>
      <c r="C2" s="2" t="inlineStr">
        <is>
          <t>CompactLogix-style controller</t>
        </is>
      </c>
      <c r="D2" s="2" t="inlineStr">
        <is>
          <t>EtherNet/IP</t>
        </is>
      </c>
      <c r="E2" s="2" t="inlineStr">
        <is>
          <t>Skid switch / IA demo wall network</t>
        </is>
      </c>
      <c r="F2" s="2" t="inlineStr">
        <is>
          <t>10.10.1.10</t>
        </is>
      </c>
      <c r="G2" s="2" t="inlineStr">
        <is>
          <t>No</t>
        </is>
      </c>
      <c r="H2" s="2" t="inlineStr">
        <is>
          <t>Core PLC/network skid.</t>
        </is>
      </c>
    </row>
    <row r="3">
      <c r="A3" s="2" t="inlineStr">
        <is>
          <t>SKID-01</t>
        </is>
      </c>
      <c r="B3" s="2" t="inlineStr">
        <is>
          <t>Firewall</t>
        </is>
      </c>
      <c r="C3" s="2" t="inlineStr">
        <is>
          <t>Fortinet appliance</t>
        </is>
      </c>
      <c r="D3" s="2" t="inlineStr">
        <is>
          <t>Ethernet</t>
        </is>
      </c>
      <c r="E3" s="2" t="inlineStr">
        <is>
          <t>Plant/demo upstream network</t>
        </is>
      </c>
      <c r="F3" s="2" t="inlineStr">
        <is>
          <t>10.10.1.1</t>
        </is>
      </c>
      <c r="G3" s="2" t="inlineStr">
        <is>
          <t>No</t>
        </is>
      </c>
      <c r="H3" s="2" t="inlineStr">
        <is>
          <t>Treat as demarcation or demo cybersecurity node.</t>
        </is>
      </c>
    </row>
    <row r="4">
      <c r="A4" s="2" t="inlineStr">
        <is>
          <t>SKID-02</t>
        </is>
      </c>
      <c r="B4" s="2" t="inlineStr">
        <is>
          <t>PowerFlex 755TS</t>
        </is>
      </c>
      <c r="C4" s="2" t="inlineStr">
        <is>
          <t>AC drive</t>
        </is>
      </c>
      <c r="D4" s="2" t="inlineStr">
        <is>
          <t>EtherNet/IP</t>
        </is>
      </c>
      <c r="E4" s="2" t="inlineStr">
        <is>
          <t>Skid switch</t>
        </is>
      </c>
      <c r="F4" s="2" t="inlineStr">
        <is>
          <t>10.10.2.20</t>
        </is>
      </c>
      <c r="G4" s="2" t="inlineStr">
        <is>
          <t>No</t>
        </is>
      </c>
      <c r="H4" s="2" t="inlineStr">
        <is>
          <t>Confirm embedded dual-port or option card.</t>
        </is>
      </c>
    </row>
    <row r="5">
      <c r="A5" s="2" t="inlineStr">
        <is>
          <t>SKID-02</t>
        </is>
      </c>
      <c r="B5" s="2" t="inlineStr">
        <is>
          <t>Kinetix 5700</t>
        </is>
      </c>
      <c r="C5" s="2" t="inlineStr">
        <is>
          <t>Servo axes</t>
        </is>
      </c>
      <c r="D5" s="2" t="inlineStr">
        <is>
          <t>EtherNet/IP/CIP Motion</t>
        </is>
      </c>
      <c r="E5" s="2" t="inlineStr">
        <is>
          <t>Motion controller</t>
        </is>
      </c>
      <c r="F5" s="2" t="inlineStr">
        <is>
          <t>10.10.2.30-31</t>
        </is>
      </c>
      <c r="G5" s="2" t="inlineStr">
        <is>
          <t>CIP Motion</t>
        </is>
      </c>
      <c r="H5" s="2" t="inlineStr">
        <is>
          <t>Controller assignment to verify.</t>
        </is>
      </c>
    </row>
    <row r="6">
      <c r="A6" s="2" t="inlineStr">
        <is>
          <t>SKID-03</t>
        </is>
      </c>
      <c r="B6" s="2" t="inlineStr">
        <is>
          <t>GuardLogix controller</t>
        </is>
      </c>
      <c r="C6" s="2" t="inlineStr">
        <is>
          <t>Safety PLC</t>
        </is>
      </c>
      <c r="D6" s="2" t="inlineStr">
        <is>
          <t>EtherNet/IP</t>
        </is>
      </c>
      <c r="E6" s="2" t="inlineStr">
        <is>
          <t>Skid switch</t>
        </is>
      </c>
      <c r="F6" s="2" t="inlineStr">
        <is>
          <t>10.10.3.10</t>
        </is>
      </c>
      <c r="G6" s="2" t="inlineStr">
        <is>
          <t>CIP Safety</t>
        </is>
      </c>
      <c r="H6" s="2" t="inlineStr">
        <is>
          <t>Safety task and safety signature to verify.</t>
        </is>
      </c>
    </row>
    <row r="7">
      <c r="A7" s="2" t="inlineStr">
        <is>
          <t>SKID-03</t>
        </is>
      </c>
      <c r="B7" s="2" t="inlineStr">
        <is>
          <t>PanelView HMI</t>
        </is>
      </c>
      <c r="C7" s="2" t="inlineStr">
        <is>
          <t>Operator interface</t>
        </is>
      </c>
      <c r="D7" s="2" t="inlineStr">
        <is>
          <t>EtherNet/IP</t>
        </is>
      </c>
      <c r="E7" s="2" t="inlineStr">
        <is>
          <t>Skid switch</t>
        </is>
      </c>
      <c r="F7" s="2" t="inlineStr">
        <is>
          <t>10.10.3.50</t>
        </is>
      </c>
      <c r="G7" s="2" t="inlineStr">
        <is>
          <t>No</t>
        </is>
      </c>
      <c r="H7" s="2" t="inlineStr">
        <is>
          <t>Runtime application displayed.</t>
        </is>
      </c>
    </row>
    <row r="8">
      <c r="A8" s="2" t="inlineStr">
        <is>
          <t>SKID-03</t>
        </is>
      </c>
      <c r="B8" s="2" t="inlineStr">
        <is>
          <t>ArmorBlock safety I/O</t>
        </is>
      </c>
      <c r="C8" s="2" t="inlineStr">
        <is>
          <t>Distributed safety I/O</t>
        </is>
      </c>
      <c r="D8" s="2" t="inlineStr">
        <is>
          <t>EtherNet/IP</t>
        </is>
      </c>
      <c r="E8" s="2" t="inlineStr">
        <is>
          <t>GuardLogix controller</t>
        </is>
      </c>
      <c r="F8" s="2" t="inlineStr">
        <is>
          <t>10.10.3.70</t>
        </is>
      </c>
      <c r="G8" s="2" t="inlineStr">
        <is>
          <t>CIP Safety</t>
        </is>
      </c>
      <c r="H8" s="2" t="inlineStr">
        <is>
          <t>M12 safety block visible.</t>
        </is>
      </c>
    </row>
    <row r="9">
      <c r="A9" s="2" t="inlineStr">
        <is>
          <t>SKID-04</t>
        </is>
      </c>
      <c r="B9" s="2" t="inlineStr">
        <is>
          <t>Servo drive</t>
        </is>
      </c>
      <c r="C9" s="2" t="inlineStr">
        <is>
          <t>Servo axis</t>
        </is>
      </c>
      <c r="D9" s="2" t="inlineStr">
        <is>
          <t>EtherNet/IP/CIP Motion</t>
        </is>
      </c>
      <c r="E9" s="2" t="inlineStr">
        <is>
          <t>Controller / switch</t>
        </is>
      </c>
      <c r="F9" s="2" t="inlineStr">
        <is>
          <t>10.10.4.30</t>
        </is>
      </c>
      <c r="G9" s="2" t="inlineStr">
        <is>
          <t>CIP Motion</t>
        </is>
      </c>
      <c r="H9" s="2" t="inlineStr">
        <is>
          <t>Axis fixture and safety interlocks.</t>
        </is>
      </c>
    </row>
    <row r="10">
      <c r="A10" s="2" t="inlineStr">
        <is>
          <t>SKID-04</t>
        </is>
      </c>
      <c r="B10" s="2" t="inlineStr">
        <is>
          <t>Guardmaster device</t>
        </is>
      </c>
      <c r="C10" s="2" t="inlineStr">
        <is>
          <t>Guard locking / safety switch</t>
        </is>
      </c>
      <c r="D10" s="2" t="inlineStr">
        <is>
          <t>OSSD or safety contacts</t>
        </is>
      </c>
      <c r="E10" s="2" t="inlineStr">
        <is>
          <t>Safety I/O / safety controller</t>
        </is>
      </c>
      <c r="F10" s="2" t="inlineStr">
        <is>
          <t>N/A</t>
        </is>
      </c>
      <c r="G10" s="2" t="inlineStr">
        <is>
          <t>CIP Safety via I/O</t>
        </is>
      </c>
      <c r="H10" s="2" t="inlineStr">
        <is>
          <t>Panel wiring must verify channel mapping.</t>
        </is>
      </c>
    </row>
    <row r="11">
      <c r="A11" s="2" t="inlineStr">
        <is>
          <t>SKID-05</t>
        </is>
      </c>
      <c r="B11" s="2" t="inlineStr">
        <is>
          <t>GuardShield light curtain</t>
        </is>
      </c>
      <c r="C11" s="2" t="inlineStr">
        <is>
          <t>Safety presence sensing</t>
        </is>
      </c>
      <c r="D11" s="2" t="inlineStr">
        <is>
          <t>OSSD / safety I/O</t>
        </is>
      </c>
      <c r="E11" s="2" t="inlineStr">
        <is>
          <t>ArmorBlock safety I/O</t>
        </is>
      </c>
      <c r="F11" s="2" t="inlineStr">
        <is>
          <t>N/A</t>
        </is>
      </c>
      <c r="G11" s="2" t="inlineStr">
        <is>
          <t>CIP Safety via I/O</t>
        </is>
      </c>
      <c r="H11" s="2" t="inlineStr">
        <is>
          <t>Two light curtain columns.</t>
        </is>
      </c>
    </row>
    <row r="12">
      <c r="A12" s="2" t="inlineStr">
        <is>
          <t>SKID-05</t>
        </is>
      </c>
      <c r="B12" s="2" t="inlineStr">
        <is>
          <t>ArmorBlock Guard I/O</t>
        </is>
      </c>
      <c r="C12" s="2" t="inlineStr">
        <is>
          <t>Safety I/O</t>
        </is>
      </c>
      <c r="D12" s="2" t="inlineStr">
        <is>
          <t>EtherNet/IP</t>
        </is>
      </c>
      <c r="E12" s="2" t="inlineStr">
        <is>
          <t>Safety controller</t>
        </is>
      </c>
      <c r="F12" s="2" t="inlineStr">
        <is>
          <t>10.10.5.70</t>
        </is>
      </c>
      <c r="G12" s="2" t="inlineStr">
        <is>
          <t>CIP Safety</t>
        </is>
      </c>
      <c r="H12" s="2" t="inlineStr">
        <is>
          <t>Controller location to verify.</t>
        </is>
      </c>
    </row>
    <row r="13">
      <c r="A13" s="2" t="inlineStr">
        <is>
          <t>SKID-06</t>
        </is>
      </c>
      <c r="B13" s="2" t="inlineStr">
        <is>
          <t>Stratix switch</t>
        </is>
      </c>
      <c r="C13" s="2" t="inlineStr">
        <is>
          <t>Managed switch</t>
        </is>
      </c>
      <c r="D13" s="2" t="inlineStr">
        <is>
          <t>Ethernet</t>
        </is>
      </c>
      <c r="E13" s="2" t="inlineStr">
        <is>
          <t>IA demo wall network</t>
        </is>
      </c>
      <c r="F13" s="2" t="inlineStr">
        <is>
          <t>10.10.6.2</t>
        </is>
      </c>
      <c r="G13" s="2" t="inlineStr">
        <is>
          <t>No</t>
        </is>
      </c>
      <c r="H13" s="2" t="inlineStr">
        <is>
          <t>Visible Allen-Bradley switch.</t>
        </is>
      </c>
    </row>
    <row r="14">
      <c r="A14" s="2" t="inlineStr">
        <is>
          <t>SKID-06</t>
        </is>
      </c>
      <c r="B14" s="2" t="inlineStr">
        <is>
          <t>HMI</t>
        </is>
      </c>
      <c r="C14" s="2" t="inlineStr">
        <is>
          <t>PanelView</t>
        </is>
      </c>
      <c r="D14" s="2" t="inlineStr">
        <is>
          <t>EtherNet/IP</t>
        </is>
      </c>
      <c r="E14" s="2" t="inlineStr">
        <is>
          <t>Skid switch</t>
        </is>
      </c>
      <c r="F14" s="2" t="inlineStr">
        <is>
          <t>10.10.6.50</t>
        </is>
      </c>
      <c r="G14" s="2" t="inlineStr">
        <is>
          <t>No</t>
        </is>
      </c>
      <c r="H14" s="2" t="inlineStr">
        <is>
          <t>Machine overview display.</t>
        </is>
      </c>
    </row>
    <row r="15">
      <c r="A15" s="2" t="inlineStr">
        <is>
          <t>SKID-06</t>
        </is>
      </c>
      <c r="B15" s="2" t="inlineStr">
        <is>
          <t>Drive / motion device</t>
        </is>
      </c>
      <c r="C15" s="2" t="inlineStr">
        <is>
          <t>VFD or servo drive</t>
        </is>
      </c>
      <c r="D15" s="2" t="inlineStr">
        <is>
          <t>EtherNet/IP</t>
        </is>
      </c>
      <c r="E15" s="2" t="inlineStr">
        <is>
          <t>Skid switch</t>
        </is>
      </c>
      <c r="F15" s="2" t="inlineStr">
        <is>
          <t>10.10.6.20</t>
        </is>
      </c>
      <c r="G15" s="2" t="inlineStr">
        <is>
          <t>Maybe</t>
        </is>
      </c>
      <c r="H15" s="2" t="inlineStr">
        <is>
          <t>Confirm exact device type.</t>
        </is>
      </c>
    </row>
  </sheetData>
  <autoFilter ref="A1:H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22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Skid_ID</t>
        </is>
      </c>
      <c r="B1" s="1" t="inlineStr">
        <is>
          <t>Technology Area</t>
        </is>
      </c>
      <c r="C1" s="1" t="inlineStr">
        <is>
          <t>Observed Devices</t>
        </is>
      </c>
      <c r="D1" s="1" t="inlineStr">
        <is>
          <t>IAB/PST Family to Start With</t>
        </is>
      </c>
      <c r="E1" s="1" t="inlineStr">
        <is>
          <t>Qty</t>
        </is>
      </c>
      <c r="F1" s="1" t="inlineStr">
        <is>
          <t>Critical Verification</t>
        </is>
      </c>
      <c r="G1" s="1" t="inlineStr">
        <is>
          <t>Recommended Output</t>
        </is>
      </c>
    </row>
    <row r="2">
      <c r="A2" s="2" t="inlineStr">
        <is>
          <t>SKID-02</t>
        </is>
      </c>
      <c r="B2" s="2" t="inlineStr">
        <is>
          <t>VFD</t>
        </is>
      </c>
      <c r="C2" s="2" t="inlineStr">
        <is>
          <t>PowerFlex 755TS</t>
        </is>
      </c>
      <c r="D2" s="2" t="inlineStr">
        <is>
          <t>PowerFlex 755TS</t>
        </is>
      </c>
      <c r="E2" s="2" t="n">
        <v>1</v>
      </c>
      <c r="F2" s="2" t="inlineStr">
        <is>
          <t>Voltage, HP/kW, frame, HIM, STO, network option</t>
        </is>
      </c>
      <c r="G2" s="2" t="inlineStr">
        <is>
          <t>Drive BOM with line/load protection</t>
        </is>
      </c>
    </row>
    <row r="3">
      <c r="A3" s="2" t="inlineStr">
        <is>
          <t>SKID-02</t>
        </is>
      </c>
      <c r="B3" s="2" t="inlineStr">
        <is>
          <t>Motion</t>
        </is>
      </c>
      <c r="C3" s="2" t="inlineStr">
        <is>
          <t>Kinetix drive modules</t>
        </is>
      </c>
      <c r="D3" s="2" t="inlineStr">
        <is>
          <t>Kinetix 5700</t>
        </is>
      </c>
      <c r="E3" s="2" t="n">
        <v>2</v>
      </c>
      <c r="F3" s="2" t="inlineStr">
        <is>
          <t>Axis count, bus supply vs inverter modules, motor pairings</t>
        </is>
      </c>
      <c r="G3" s="2" t="inlineStr">
        <is>
          <t>CIP Motion axis schedule</t>
        </is>
      </c>
    </row>
    <row r="4">
      <c r="A4" s="2" t="inlineStr">
        <is>
          <t>SKID-03</t>
        </is>
      </c>
      <c r="B4" s="2" t="inlineStr">
        <is>
          <t>Safety PLC</t>
        </is>
      </c>
      <c r="C4" s="2" t="inlineStr">
        <is>
          <t>Compact GuardLogix class controller and safety I/O</t>
        </is>
      </c>
      <c r="D4" s="2" t="inlineStr">
        <is>
          <t>Compact GuardLogix 5380 / 5069 safety I/O</t>
        </is>
      </c>
      <c r="E4" s="2" t="n">
        <v>1</v>
      </c>
      <c r="F4" s="2" t="inlineStr">
        <is>
          <t>CPU, safety modules, safety network number</t>
        </is>
      </c>
      <c r="G4" s="2" t="inlineStr">
        <is>
          <t>Safety controller BOM</t>
        </is>
      </c>
    </row>
    <row r="5">
      <c r="A5" s="2" t="inlineStr">
        <is>
          <t>SKID-04</t>
        </is>
      </c>
      <c r="B5" s="2" t="inlineStr">
        <is>
          <t>Motion Safety</t>
        </is>
      </c>
      <c r="C5" s="2" t="inlineStr">
        <is>
          <t>Kinetix drive, servo motor, guard switch</t>
        </is>
      </c>
      <c r="D5" s="2" t="inlineStr">
        <is>
          <t>Kinetix + Guardmaster</t>
        </is>
      </c>
      <c r="E5" s="2" t="n">
        <v>1</v>
      </c>
      <c r="F5" s="2" t="inlineStr">
        <is>
          <t>Motor catalog, drive rating, safe torque off wiring</t>
        </is>
      </c>
      <c r="G5" s="2" t="inlineStr">
        <is>
          <t>Servo safety axis BOM</t>
        </is>
      </c>
    </row>
    <row r="6">
      <c r="A6" s="2" t="inlineStr">
        <is>
          <t>SKID-05</t>
        </is>
      </c>
      <c r="B6" s="2" t="inlineStr">
        <is>
          <t>Machine Safety</t>
        </is>
      </c>
      <c r="C6" s="2" t="inlineStr">
        <is>
          <t>GuardShield, Guardmaster, E-stops, safety I/O</t>
        </is>
      </c>
      <c r="D6" s="2" t="inlineStr">
        <is>
          <t>GuardShield 450L/440L, Guardmaster, ArmorBlock Guard I/O</t>
        </is>
      </c>
      <c r="E6" s="2" t="n">
        <v>1</v>
      </c>
      <c r="F6" s="2" t="inlineStr">
        <is>
          <t>Safety device model heights, OSSD/contact wiring, reset logic</t>
        </is>
      </c>
      <c r="G6" s="2" t="inlineStr">
        <is>
          <t>Safety device schedule</t>
        </is>
      </c>
    </row>
    <row r="7">
      <c r="A7" s="2" t="inlineStr">
        <is>
          <t>SKID-06</t>
        </is>
      </c>
      <c r="B7" s="2" t="inlineStr">
        <is>
          <t>Compact Control / Drives</t>
        </is>
      </c>
      <c r="C7" s="2" t="inlineStr">
        <is>
          <t>HMI, Stratix switch, drive/axis hardware</t>
        </is>
      </c>
      <c r="D7" s="2" t="inlineStr">
        <is>
          <t>PanelView, Stratix, PowerFlex/Kinetix candidate</t>
        </is>
      </c>
      <c r="E7" s="2" t="n">
        <v>1</v>
      </c>
      <c r="F7" s="2" t="inlineStr">
        <is>
          <t>Controller and drive family from nameplates</t>
        </is>
      </c>
      <c r="G7" s="2" t="inlineStr">
        <is>
          <t>Machine control BOM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22" customWidth="1" min="4" max="4"/>
    <col width="16" customWidth="1" min="5" max="5"/>
  </cols>
  <sheetData>
    <row r="1">
      <c r="A1" s="1" t="inlineStr">
        <is>
          <t>Step</t>
        </is>
      </c>
      <c r="B1" s="1" t="inlineStr">
        <is>
          <t>Area</t>
        </is>
      </c>
      <c r="C1" s="1" t="inlineStr">
        <is>
          <t>Instruction</t>
        </is>
      </c>
      <c r="D1" s="1" t="inlineStr">
        <is>
          <t>Responsible Role</t>
        </is>
      </c>
      <c r="E1" s="1" t="inlineStr">
        <is>
          <t>Done</t>
        </is>
      </c>
    </row>
    <row r="2">
      <c r="A2" s="2" t="n">
        <v>1</v>
      </c>
      <c r="B2" s="2" t="inlineStr">
        <is>
          <t>Project setup</t>
        </is>
      </c>
      <c r="C2" s="2" t="inlineStr">
        <is>
          <t>Create PST/IAB project: MMG_Rockwell_Demo_Room_Integrated_Architecture. Use six Process Skid designations under IA-DEMO-WALL.</t>
        </is>
      </c>
      <c r="D2" s="2" t="inlineStr">
        <is>
          <t>Controls Engineer</t>
        </is>
      </c>
      <c r="E2" s="2" t="inlineStr">
        <is>
          <t>No</t>
        </is>
      </c>
    </row>
    <row r="3">
      <c r="A3" s="2" t="n">
        <v>2</v>
      </c>
      <c r="B3" s="2" t="inlineStr">
        <is>
          <t>SKID-01</t>
        </is>
      </c>
      <c r="C3" s="2" t="inlineStr">
        <is>
          <t>Add controller, Ethernet switch/security device, power distribution, operator devices and terminal block assemblies.</t>
        </is>
      </c>
      <c r="D3" s="2" t="inlineStr">
        <is>
          <t>Controls Engineer</t>
        </is>
      </c>
      <c r="E3" s="2" t="inlineStr">
        <is>
          <t>No</t>
        </is>
      </c>
    </row>
    <row r="4">
      <c r="A4" s="2" t="n">
        <v>3</v>
      </c>
      <c r="B4" s="2" t="inlineStr">
        <is>
          <t>SKID-02</t>
        </is>
      </c>
      <c r="C4" s="2" t="inlineStr">
        <is>
          <t>Add PowerFlex 755TS drive and Kinetix motion modules. Resolve HP/kW, frame, voltage and axis count before pricing.</t>
        </is>
      </c>
      <c r="D4" s="2" t="inlineStr">
        <is>
          <t>Drives Specialist</t>
        </is>
      </c>
      <c r="E4" s="2" t="inlineStr">
        <is>
          <t>No</t>
        </is>
      </c>
    </row>
    <row r="5">
      <c r="A5" s="2" t="n">
        <v>4</v>
      </c>
      <c r="B5" s="2" t="inlineStr">
        <is>
          <t>SKID-03</t>
        </is>
      </c>
      <c r="C5" s="2" t="inlineStr">
        <is>
          <t>Add GuardLogix/CompactLogix controller, PanelView HMI, safety I/O, field I/O block and managed switch.</t>
        </is>
      </c>
      <c r="D5" s="2" t="inlineStr">
        <is>
          <t>Safety / Controls Engineer</t>
        </is>
      </c>
      <c r="E5" s="2" t="inlineStr">
        <is>
          <t>No</t>
        </is>
      </c>
    </row>
    <row r="6">
      <c r="A6" s="2" t="n">
        <v>5</v>
      </c>
      <c r="B6" s="2" t="inlineStr">
        <is>
          <t>SKID-04</t>
        </is>
      </c>
      <c r="C6" s="2" t="inlineStr">
        <is>
          <t>Add servo drive, servo motor/axis hardware, guard locking switch, safety sensor and operator station.</t>
        </is>
      </c>
      <c r="D6" s="2" t="inlineStr">
        <is>
          <t>Motion Specialist</t>
        </is>
      </c>
      <c r="E6" s="2" t="inlineStr">
        <is>
          <t>No</t>
        </is>
      </c>
    </row>
    <row r="7">
      <c r="A7" s="2" t="n">
        <v>6</v>
      </c>
      <c r="B7" s="2" t="inlineStr">
        <is>
          <t>SKID-05</t>
        </is>
      </c>
      <c r="C7" s="2" t="inlineStr">
        <is>
          <t>Add light curtain pair, Guardmaster switches, E-stops, safety I/O blocks and status indicators.</t>
        </is>
      </c>
      <c r="D7" s="2" t="inlineStr">
        <is>
          <t>Safety Specialist</t>
        </is>
      </c>
      <c r="E7" s="2" t="inlineStr">
        <is>
          <t>No</t>
        </is>
      </c>
    </row>
    <row r="8">
      <c r="A8" s="2" t="n">
        <v>7</v>
      </c>
      <c r="B8" s="2" t="inlineStr">
        <is>
          <t>SKID-06</t>
        </is>
      </c>
      <c r="C8" s="2" t="inlineStr">
        <is>
          <t>Add HMI, PLC/controller, Stratix switch, drive/motion device, actuator, power supply and branch protection.</t>
        </is>
      </c>
      <c r="D8" s="2" t="inlineStr">
        <is>
          <t>Controls Engineer</t>
        </is>
      </c>
      <c r="E8" s="2" t="inlineStr">
        <is>
          <t>No</t>
        </is>
      </c>
    </row>
    <row r="9">
      <c r="A9" s="2" t="n">
        <v>8</v>
      </c>
      <c r="B9" s="2" t="inlineStr">
        <is>
          <t>Network</t>
        </is>
      </c>
      <c r="C9" s="2" t="inlineStr">
        <is>
          <t>Build a port map for every Ethernet device, reserve uplink ports and add managed switch accessories as required.</t>
        </is>
      </c>
      <c r="D9" s="2" t="inlineStr">
        <is>
          <t>Network Engineer</t>
        </is>
      </c>
      <c r="E9" s="2" t="inlineStr">
        <is>
          <t>No</t>
        </is>
      </c>
    </row>
    <row r="10">
      <c r="A10" s="2" t="n">
        <v>9</v>
      </c>
      <c r="B10" s="2" t="inlineStr">
        <is>
          <t>SCCR / Power</t>
        </is>
      </c>
      <c r="C10" s="2" t="inlineStr">
        <is>
          <t>Validate breaker/contactor/drive combinations with SCCR, UL 508A, load current and available fault current.</t>
        </is>
      </c>
      <c r="D10" s="2" t="inlineStr">
        <is>
          <t>Panel Designer</t>
        </is>
      </c>
      <c r="E10" s="2" t="inlineStr">
        <is>
          <t>No</t>
        </is>
      </c>
    </row>
    <row r="11">
      <c r="A11" s="2" t="n">
        <v>10</v>
      </c>
      <c r="B11" s="2" t="inlineStr">
        <is>
          <t>Final review</t>
        </is>
      </c>
      <c r="C11" s="2" t="inlineStr">
        <is>
          <t>Replace all candidate families with exact catalog numbers from nameplates, existing drawings or Studio 5000/CCW/DriveExecutive files.</t>
        </is>
      </c>
      <c r="D11" s="2" t="inlineStr">
        <is>
          <t>Project Lead</t>
        </is>
      </c>
      <c r="E11" s="2" t="inlineStr">
        <is>
          <t>No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22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Priority</t>
        </is>
      </c>
      <c r="B1" s="1" t="inlineStr">
        <is>
          <t>Skid_ID</t>
        </is>
      </c>
      <c r="C1" s="1" t="inlineStr">
        <is>
          <t>Item</t>
        </is>
      </c>
      <c r="D1" s="1" t="inlineStr">
        <is>
          <t>Why It Matters</t>
        </is>
      </c>
      <c r="E1" s="1" t="inlineStr">
        <is>
          <t>How to Verify</t>
        </is>
      </c>
      <c r="F1" s="1" t="inlineStr">
        <is>
          <t>Owner</t>
        </is>
      </c>
      <c r="G1" s="1" t="inlineStr">
        <is>
          <t>Status</t>
        </is>
      </c>
    </row>
    <row r="2">
      <c r="A2" s="2" t="inlineStr">
        <is>
          <t>High</t>
        </is>
      </c>
      <c r="B2" s="2" t="inlineStr">
        <is>
          <t>ALL</t>
        </is>
      </c>
      <c r="C2" s="2" t="inlineStr">
        <is>
          <t>Exact controller catalog numbers and firmware</t>
        </is>
      </c>
      <c r="D2" s="2" t="inlineStr">
        <is>
          <t>IAB must select exact CPU, memory, safety capability and accessories.</t>
        </is>
      </c>
      <c r="E2" s="2" t="inlineStr">
        <is>
          <t>Nameplates, Studio 5000 project properties, controller web pages.</t>
        </is>
      </c>
      <c r="F2" s="2" t="inlineStr">
        <is>
          <t>Controls</t>
        </is>
      </c>
      <c r="G2" s="2" t="inlineStr">
        <is>
          <t>Open</t>
        </is>
      </c>
    </row>
    <row r="3">
      <c r="A3" s="2" t="inlineStr">
        <is>
          <t>High</t>
        </is>
      </c>
      <c r="B3" s="2" t="inlineStr">
        <is>
          <t>SKID-02</t>
        </is>
      </c>
      <c r="C3" s="2" t="inlineStr">
        <is>
          <t>PowerFlex 755TS ratings</t>
        </is>
      </c>
      <c r="D3" s="2" t="inlineStr">
        <is>
          <t>Pricing and protection depend on voltage, HP/kW, frame, STO, and network options.</t>
        </is>
      </c>
      <c r="E3" s="2" t="inlineStr">
        <is>
          <t>Drive nameplate and parameter upload.</t>
        </is>
      </c>
      <c r="F3" s="2" t="inlineStr">
        <is>
          <t>Drives</t>
        </is>
      </c>
      <c r="G3" s="2" t="inlineStr">
        <is>
          <t>Open</t>
        </is>
      </c>
    </row>
    <row r="4">
      <c r="A4" s="2" t="inlineStr">
        <is>
          <t>High</t>
        </is>
      </c>
      <c r="B4" s="2" t="inlineStr">
        <is>
          <t>SKID-02/SKID-04</t>
        </is>
      </c>
      <c r="C4" s="2" t="inlineStr">
        <is>
          <t>Kinetix drive/motor pairings</t>
        </is>
      </c>
      <c r="D4" s="2" t="inlineStr">
        <is>
          <t>Axis sizing and cable accessories require exact drive and motor catalog numbers.</t>
        </is>
      </c>
      <c r="E4" s="2" t="inlineStr">
        <is>
          <t>Drive label, motor label, motion axis configuration.</t>
        </is>
      </c>
      <c r="F4" s="2" t="inlineStr">
        <is>
          <t>Motion</t>
        </is>
      </c>
      <c r="G4" s="2" t="inlineStr">
        <is>
          <t>Open</t>
        </is>
      </c>
    </row>
    <row r="5">
      <c r="A5" s="2" t="inlineStr">
        <is>
          <t>High</t>
        </is>
      </c>
      <c r="B5" s="2" t="inlineStr">
        <is>
          <t>SKID-03/SKID-05</t>
        </is>
      </c>
      <c r="C5" s="2" t="inlineStr">
        <is>
          <t>Safety I/O and safety device channel counts</t>
        </is>
      </c>
      <c r="D5" s="2" t="inlineStr">
        <is>
          <t>CIP Safety signatures and safety validation require exact modules and channel mapping.</t>
        </is>
      </c>
      <c r="E5" s="2" t="inlineStr">
        <is>
          <t>Panel drawings, safety program, physical labels.</t>
        </is>
      </c>
      <c r="F5" s="2" t="inlineStr">
        <is>
          <t>Safety</t>
        </is>
      </c>
      <c r="G5" s="2" t="inlineStr">
        <is>
          <t>Open</t>
        </is>
      </c>
    </row>
    <row r="6">
      <c r="A6" s="2" t="inlineStr">
        <is>
          <t>Medium</t>
        </is>
      </c>
      <c r="B6" s="2" t="inlineStr">
        <is>
          <t>ALL</t>
        </is>
      </c>
      <c r="C6" s="2" t="inlineStr">
        <is>
          <t>Ethernet switch models and port counts</t>
        </is>
      </c>
      <c r="D6" s="2" t="inlineStr">
        <is>
          <t>IAB network bill must include sufficient ports, uplinks and spare capacity.</t>
        </is>
      </c>
      <c r="E6" s="2" t="inlineStr">
        <is>
          <t>Switch labels and network drawings.</t>
        </is>
      </c>
      <c r="F6" s="2" t="inlineStr">
        <is>
          <t>Network</t>
        </is>
      </c>
      <c r="G6" s="2" t="inlineStr">
        <is>
          <t>Open</t>
        </is>
      </c>
    </row>
    <row r="7">
      <c r="A7" s="2" t="inlineStr">
        <is>
          <t>Medium</t>
        </is>
      </c>
      <c r="B7" s="2" t="inlineStr">
        <is>
          <t>ALL</t>
        </is>
      </c>
      <c r="C7" s="2" t="inlineStr">
        <is>
          <t>Terminal block manufacturer/count</t>
        </is>
      </c>
      <c r="D7" s="2" t="inlineStr">
        <is>
          <t>Terminal blocks may be non-Rockwell and may be excluded or added as panel materials.</t>
        </is>
      </c>
      <c r="E7" s="2" t="inlineStr">
        <is>
          <t>Panel drawing or count from high-res closeups.</t>
        </is>
      </c>
      <c r="F7" s="2" t="inlineStr">
        <is>
          <t>Panel Design</t>
        </is>
      </c>
      <c r="G7" s="2" t="inlineStr">
        <is>
          <t>Open</t>
        </is>
      </c>
    </row>
    <row r="8">
      <c r="A8" s="2" t="inlineStr">
        <is>
          <t>Medium</t>
        </is>
      </c>
      <c r="B8" s="2" t="inlineStr">
        <is>
          <t>ALL</t>
        </is>
      </c>
      <c r="C8" s="2" t="inlineStr">
        <is>
          <t>Power supply voltages and load calculations</t>
        </is>
      </c>
      <c r="D8" s="2" t="inlineStr">
        <is>
          <t>24 VDC supply sizing and branch protection must be validated.</t>
        </is>
      </c>
      <c r="E8" s="2" t="inlineStr">
        <is>
          <t>Power supply labels, I/O load calculations.</t>
        </is>
      </c>
      <c r="F8" s="2" t="inlineStr">
        <is>
          <t>Panel Design</t>
        </is>
      </c>
      <c r="G8" s="2" t="inlineStr">
        <is>
          <t>Open</t>
        </is>
      </c>
    </row>
    <row r="9">
      <c r="A9" s="2" t="inlineStr">
        <is>
          <t>Low</t>
        </is>
      </c>
      <c r="B9" s="2" t="inlineStr">
        <is>
          <t>ALL</t>
        </is>
      </c>
      <c r="C9" s="2" t="inlineStr">
        <is>
          <t>Non-Rockwell third-party devices</t>
        </is>
      </c>
      <c r="D9" s="2" t="inlineStr">
        <is>
          <t>IAB may need placeholder or notes for Fortinet/WAGO/other devices.</t>
        </is>
      </c>
      <c r="E9" s="2" t="inlineStr">
        <is>
          <t>Device labels and procurement list.</t>
        </is>
      </c>
      <c r="F9" s="2" t="inlineStr">
        <is>
          <t>Project Lead</t>
        </is>
      </c>
      <c r="G9" s="2" t="inlineStr">
        <is>
          <t>Open</t>
        </is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45" customWidth="1" min="4" max="4"/>
  </cols>
  <sheetData>
    <row r="1">
      <c r="A1" s="1" t="inlineStr">
        <is>
          <t>Skid_ID</t>
        </is>
      </c>
      <c r="B1" s="1" t="inlineStr">
        <is>
          <t>Source Photo</t>
        </is>
      </c>
      <c r="C1" s="1" t="inlineStr">
        <is>
          <t>Description</t>
        </is>
      </c>
      <c r="D1" s="1" t="inlineStr">
        <is>
          <t>Embedded Thumbnail</t>
        </is>
      </c>
    </row>
    <row r="2" ht="130" customHeight="1">
      <c r="A2" s="2" t="inlineStr">
        <is>
          <t>MAIN</t>
        </is>
      </c>
      <c r="B2" s="2" t="inlineStr">
        <is>
          <t>IMG_0192.jpeg</t>
        </is>
      </c>
      <c r="C2" s="2" t="inlineStr">
        <is>
          <t>Main group photo showing full Rockwell demo room wall with six process skid backpanels.</t>
        </is>
      </c>
      <c r="D2" s="2" t="n"/>
    </row>
    <row r="3" ht="130" customHeight="1">
      <c r="A3" s="2" t="inlineStr">
        <is>
          <t>SKID-01</t>
        </is>
      </c>
      <c r="B3" s="2" t="inlineStr">
        <is>
          <t>IMG_0196.jpeg</t>
        </is>
      </c>
      <c r="C3" s="2" t="inlineStr">
        <is>
          <t>PLC/network core process skid closeup.</t>
        </is>
      </c>
      <c r="D3" s="2" t="n"/>
    </row>
    <row r="4" ht="130" customHeight="1">
      <c r="A4" s="2" t="inlineStr">
        <is>
          <t>SKID-02</t>
        </is>
      </c>
      <c r="B4" s="2" t="inlineStr">
        <is>
          <t>IMG_0199.jpeg</t>
        </is>
      </c>
      <c r="C4" s="2" t="inlineStr">
        <is>
          <t>VFD and Kinetix motion drive process skid closeup.</t>
        </is>
      </c>
      <c r="D4" s="2" t="n"/>
    </row>
    <row r="5" ht="130" customHeight="1">
      <c r="A5" s="2" t="inlineStr">
        <is>
          <t>SKID-03</t>
        </is>
      </c>
      <c r="B5" s="2" t="inlineStr">
        <is>
          <t>IMG_0201.jpeg</t>
        </is>
      </c>
      <c r="C5" s="2" t="inlineStr">
        <is>
          <t>GuardLogix/HMI safety process skid closeup.</t>
        </is>
      </c>
      <c r="D5" s="2" t="n"/>
    </row>
    <row r="6" ht="130" customHeight="1">
      <c r="A6" s="2" t="inlineStr">
        <is>
          <t>SKID-04</t>
        </is>
      </c>
      <c r="B6" s="2" t="inlineStr">
        <is>
          <t>IMG_0205.jpeg</t>
        </is>
      </c>
      <c r="C6" s="2" t="inlineStr">
        <is>
          <t>Servo motion safety cell process skid closeup.</t>
        </is>
      </c>
      <c r="D6" s="2" t="n"/>
    </row>
    <row r="7" ht="130" customHeight="1">
      <c r="A7" s="2" t="inlineStr">
        <is>
          <t>SKID-05</t>
        </is>
      </c>
      <c r="B7" s="2" t="inlineStr">
        <is>
          <t>IMG_0206.jpeg</t>
        </is>
      </c>
      <c r="C7" s="2" t="inlineStr">
        <is>
          <t>Guarding/E-stop safety demonstration process skid closeup.</t>
        </is>
      </c>
      <c r="D7" s="2" t="n"/>
    </row>
    <row r="8" ht="130" customHeight="1">
      <c r="A8" s="2" t="inlineStr">
        <is>
          <t>SKID-06</t>
        </is>
      </c>
      <c r="B8" s="2" t="inlineStr">
        <is>
          <t>IMG_0209.jpeg</t>
        </is>
      </c>
      <c r="C8" s="2" t="inlineStr">
        <is>
          <t>Compact machine control and drives process skid closeup.</t>
        </is>
      </c>
      <c r="D8" s="2" t="n"/>
    </row>
  </sheetData>
  <autoFilter ref="A1:D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2026-07-28T16:14:06Z</dcterms:created>
  <dcterms:modified xmlns:dcterms="http://purl.org/dc/terms/" xmlns:xsi="http://www.w3.org/2001/XMLSchema-instance" xsi:type="dcterms:W3CDTF">2026-07-28T16:14:06Z</dcterms:modified>
</cp:coreProperties>
</file>